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ichelynscott/Documents/Home/UCF_Data_Analytics/Final-Project-Group-B/"/>
    </mc:Choice>
  </mc:AlternateContent>
  <xr:revisionPtr revIDLastSave="0" documentId="8_{518B0A7E-AD1C-DF42-A5C6-6FE1E81003E7}" xr6:coauthVersionLast="47" xr6:coauthVersionMax="47" xr10:uidLastSave="{00000000-0000-0000-0000-000000000000}"/>
  <bookViews>
    <workbookView xWindow="380" yWindow="500" windowWidth="28040" windowHeight="16940"/>
  </bookViews>
  <sheets>
    <sheet name="ML3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J16" i="1" s="1"/>
  <c r="L18" i="1"/>
  <c r="L19" i="1"/>
  <c r="L20" i="1"/>
  <c r="L21" i="1"/>
  <c r="L23" i="1"/>
  <c r="L24" i="1"/>
  <c r="L25" i="1"/>
  <c r="L26" i="1"/>
  <c r="L28" i="1"/>
  <c r="L29" i="1"/>
  <c r="L30" i="1"/>
  <c r="L31" i="1"/>
  <c r="L33" i="1"/>
  <c r="L34" i="1"/>
  <c r="L35" i="1"/>
  <c r="J35" i="1" s="1"/>
  <c r="L36" i="1"/>
  <c r="L38" i="1"/>
  <c r="L39" i="1"/>
  <c r="L40" i="1"/>
  <c r="L41" i="1"/>
  <c r="J41" i="1" s="1"/>
  <c r="L43" i="1"/>
  <c r="L44" i="1"/>
  <c r="L45" i="1"/>
  <c r="L46" i="1"/>
  <c r="L48" i="1"/>
  <c r="L49" i="1"/>
  <c r="L50" i="1"/>
  <c r="L51" i="1"/>
  <c r="J51" i="1" s="1"/>
  <c r="L53" i="1"/>
  <c r="L54" i="1"/>
  <c r="L55" i="1"/>
  <c r="L56" i="1"/>
  <c r="J56" i="1" s="1"/>
  <c r="L58" i="1"/>
  <c r="L59" i="1"/>
  <c r="L60" i="1"/>
  <c r="L61" i="1"/>
  <c r="L63" i="1"/>
  <c r="L64" i="1"/>
  <c r="L65" i="1"/>
  <c r="L66" i="1"/>
  <c r="L68" i="1"/>
  <c r="L69" i="1"/>
  <c r="L70" i="1"/>
  <c r="L71" i="1"/>
  <c r="L73" i="1"/>
  <c r="L74" i="1"/>
  <c r="L75" i="1"/>
  <c r="J75" i="1" s="1"/>
  <c r="L76" i="1"/>
  <c r="L78" i="1"/>
  <c r="L79" i="1"/>
  <c r="L80" i="1"/>
  <c r="L81" i="1"/>
  <c r="J81" i="1" s="1"/>
  <c r="L83" i="1"/>
  <c r="L84" i="1"/>
  <c r="L85" i="1"/>
  <c r="L86" i="1"/>
  <c r="L88" i="1"/>
  <c r="L89" i="1"/>
  <c r="L90" i="1"/>
  <c r="L91" i="1"/>
  <c r="J91" i="1" s="1"/>
  <c r="L93" i="1"/>
  <c r="L94" i="1"/>
  <c r="L95" i="1"/>
  <c r="J95" i="1" s="1"/>
  <c r="L96" i="1"/>
  <c r="J96" i="1" s="1"/>
  <c r="L98" i="1"/>
  <c r="L99" i="1"/>
  <c r="L100" i="1"/>
  <c r="L101" i="1"/>
  <c r="L103" i="1"/>
  <c r="L104" i="1"/>
  <c r="L105" i="1"/>
  <c r="L106" i="1"/>
  <c r="L108" i="1"/>
  <c r="L109" i="1"/>
  <c r="L110" i="1"/>
  <c r="L111" i="1"/>
  <c r="L113" i="1"/>
  <c r="L114" i="1"/>
  <c r="L115" i="1"/>
  <c r="J115" i="1" s="1"/>
  <c r="L116" i="1"/>
  <c r="L118" i="1"/>
  <c r="L119" i="1"/>
  <c r="L120" i="1"/>
  <c r="L121" i="1"/>
  <c r="J121" i="1" s="1"/>
  <c r="L123" i="1"/>
  <c r="L124" i="1"/>
  <c r="L125" i="1"/>
  <c r="L126" i="1"/>
  <c r="L128" i="1"/>
  <c r="L129" i="1"/>
  <c r="L130" i="1"/>
  <c r="L131" i="1"/>
  <c r="J131" i="1" s="1"/>
  <c r="L133" i="1"/>
  <c r="L134" i="1"/>
  <c r="L135" i="1"/>
  <c r="J135" i="1" s="1"/>
  <c r="L136" i="1"/>
  <c r="J136" i="1" s="1"/>
  <c r="L138" i="1"/>
  <c r="L139" i="1"/>
  <c r="L140" i="1"/>
  <c r="L141" i="1"/>
  <c r="L143" i="1"/>
  <c r="L144" i="1"/>
  <c r="L145" i="1"/>
  <c r="L146" i="1"/>
  <c r="L148" i="1"/>
  <c r="L149" i="1"/>
  <c r="L150" i="1"/>
  <c r="L151" i="1"/>
  <c r="J151" i="1" s="1"/>
  <c r="L153" i="1"/>
  <c r="L154" i="1"/>
  <c r="L155" i="1"/>
  <c r="J155" i="1" s="1"/>
  <c r="L156" i="1"/>
  <c r="L158" i="1"/>
  <c r="L159" i="1"/>
  <c r="L160" i="1"/>
  <c r="L161" i="1"/>
  <c r="J161" i="1" s="1"/>
  <c r="L163" i="1"/>
  <c r="L164" i="1"/>
  <c r="L165" i="1"/>
  <c r="L166" i="1"/>
  <c r="L168" i="1"/>
  <c r="L169" i="1"/>
  <c r="L170" i="1"/>
  <c r="L171" i="1"/>
  <c r="J171" i="1" s="1"/>
  <c r="L173" i="1"/>
  <c r="L174" i="1"/>
  <c r="L175" i="1"/>
  <c r="J175" i="1" s="1"/>
  <c r="L176" i="1"/>
  <c r="J176" i="1" s="1"/>
  <c r="L178" i="1"/>
  <c r="L179" i="1"/>
  <c r="L180" i="1"/>
  <c r="L181" i="1"/>
  <c r="L183" i="1"/>
  <c r="L184" i="1"/>
  <c r="L185" i="1"/>
  <c r="L186" i="1"/>
  <c r="L188" i="1"/>
  <c r="L189" i="1"/>
  <c r="L190" i="1"/>
  <c r="L191" i="1"/>
  <c r="J191" i="1" s="1"/>
  <c r="L193" i="1"/>
  <c r="L194" i="1"/>
  <c r="L195" i="1"/>
  <c r="J195" i="1" s="1"/>
  <c r="L196" i="1"/>
  <c r="L198" i="1"/>
  <c r="L199" i="1"/>
  <c r="L200" i="1"/>
  <c r="L201" i="1"/>
  <c r="J201" i="1" s="1"/>
  <c r="L203" i="1"/>
  <c r="L204" i="1"/>
  <c r="L205" i="1"/>
  <c r="L206" i="1"/>
  <c r="L208" i="1"/>
  <c r="L209" i="1"/>
  <c r="L210" i="1"/>
  <c r="L211" i="1"/>
  <c r="J211" i="1" s="1"/>
  <c r="L213" i="1"/>
  <c r="L214" i="1"/>
  <c r="L215" i="1"/>
  <c r="J215" i="1" s="1"/>
  <c r="L216" i="1"/>
  <c r="J216" i="1" s="1"/>
  <c r="L218" i="1"/>
  <c r="L219" i="1"/>
  <c r="L220" i="1"/>
  <c r="L221" i="1"/>
  <c r="L223" i="1"/>
  <c r="L224" i="1"/>
  <c r="L225" i="1"/>
  <c r="L226" i="1"/>
  <c r="L228" i="1"/>
  <c r="L229" i="1"/>
  <c r="L230" i="1"/>
  <c r="L231" i="1"/>
  <c r="J231" i="1" s="1"/>
  <c r="L233" i="1"/>
  <c r="L234" i="1"/>
  <c r="L235" i="1"/>
  <c r="J235" i="1" s="1"/>
  <c r="L236" i="1"/>
  <c r="L238" i="1"/>
  <c r="L239" i="1"/>
  <c r="L240" i="1"/>
  <c r="L241" i="1"/>
  <c r="J241" i="1" s="1"/>
  <c r="L243" i="1"/>
  <c r="L244" i="1"/>
  <c r="L245" i="1"/>
  <c r="L246" i="1"/>
  <c r="L248" i="1"/>
  <c r="L249" i="1"/>
  <c r="L250" i="1"/>
  <c r="L251" i="1"/>
  <c r="J251" i="1" s="1"/>
  <c r="L253" i="1"/>
  <c r="L254" i="1"/>
  <c r="L255" i="1"/>
  <c r="J255" i="1" s="1"/>
  <c r="L256" i="1"/>
  <c r="J256" i="1" s="1"/>
  <c r="L258" i="1"/>
  <c r="L259" i="1"/>
  <c r="L260" i="1"/>
  <c r="L261" i="1"/>
  <c r="L263" i="1"/>
  <c r="L264" i="1"/>
  <c r="L265" i="1"/>
  <c r="L266" i="1"/>
  <c r="L268" i="1"/>
  <c r="L269" i="1"/>
  <c r="L270" i="1"/>
  <c r="L271" i="1"/>
  <c r="J271" i="1" s="1"/>
  <c r="L273" i="1"/>
  <c r="L274" i="1"/>
  <c r="L275" i="1"/>
  <c r="J275" i="1" s="1"/>
  <c r="L276" i="1"/>
  <c r="L278" i="1"/>
  <c r="L279" i="1"/>
  <c r="L280" i="1"/>
  <c r="L281" i="1"/>
  <c r="J281" i="1" s="1"/>
  <c r="J280" i="1"/>
  <c r="J276" i="1"/>
  <c r="J270" i="1"/>
  <c r="J266" i="1"/>
  <c r="J265" i="1"/>
  <c r="J261" i="1"/>
  <c r="J260" i="1"/>
  <c r="J250" i="1"/>
  <c r="J246" i="1"/>
  <c r="J245" i="1"/>
  <c r="J240" i="1"/>
  <c r="J236" i="1"/>
  <c r="J230" i="1"/>
  <c r="J226" i="1"/>
  <c r="J225" i="1"/>
  <c r="J221" i="1"/>
  <c r="J220" i="1"/>
  <c r="J210" i="1"/>
  <c r="J206" i="1"/>
  <c r="J205" i="1"/>
  <c r="J200" i="1"/>
  <c r="J196" i="1"/>
  <c r="J190" i="1"/>
  <c r="J186" i="1"/>
  <c r="J185" i="1"/>
  <c r="J181" i="1"/>
  <c r="J180" i="1"/>
  <c r="J170" i="1"/>
  <c r="J166" i="1"/>
  <c r="J165" i="1"/>
  <c r="J160" i="1"/>
  <c r="J156" i="1"/>
  <c r="J150" i="1"/>
  <c r="J146" i="1"/>
  <c r="J145" i="1"/>
  <c r="J141" i="1"/>
  <c r="J140" i="1"/>
  <c r="J130" i="1"/>
  <c r="J126" i="1"/>
  <c r="J125" i="1"/>
  <c r="J120" i="1"/>
  <c r="J116" i="1"/>
  <c r="J111" i="1"/>
  <c r="J110" i="1"/>
  <c r="J106" i="1"/>
  <c r="J105" i="1"/>
  <c r="J101" i="1"/>
  <c r="J100" i="1"/>
  <c r="J90" i="1"/>
  <c r="J86" i="1"/>
  <c r="J85" i="1"/>
  <c r="J80" i="1"/>
  <c r="J76" i="1"/>
  <c r="J71" i="1"/>
  <c r="J70" i="1"/>
  <c r="J66" i="1"/>
  <c r="J65" i="1"/>
  <c r="J61" i="1"/>
  <c r="J60" i="1"/>
  <c r="J55" i="1"/>
  <c r="J50" i="1"/>
  <c r="J46" i="1"/>
  <c r="J45" i="1"/>
  <c r="J40" i="1"/>
  <c r="J30" i="1"/>
  <c r="J36" i="1"/>
  <c r="J31" i="1"/>
  <c r="J26" i="1"/>
  <c r="J25" i="1"/>
  <c r="J21" i="1"/>
  <c r="J20" i="1"/>
  <c r="J14" i="1"/>
  <c r="J15" i="1"/>
  <c r="J13" i="1"/>
  <c r="J9" i="1"/>
  <c r="J10" i="1"/>
  <c r="J11" i="1"/>
  <c r="J8" i="1"/>
  <c r="L9" i="1"/>
  <c r="L5" i="1"/>
  <c r="J5" i="1" s="1"/>
  <c r="L10" i="1"/>
  <c r="L11" i="1"/>
  <c r="L8" i="1"/>
  <c r="J6" i="1"/>
  <c r="L6" i="1"/>
</calcChain>
</file>

<file path=xl/sharedStrings.xml><?xml version="1.0" encoding="utf-8"?>
<sst xmlns="http://schemas.openxmlformats.org/spreadsheetml/2006/main" count="291" uniqueCount="67">
  <si>
    <t>State</t>
  </si>
  <si>
    <t>Year</t>
  </si>
  <si>
    <t>Studio</t>
  </si>
  <si>
    <t>One Bedroom</t>
  </si>
  <si>
    <t>Two Bedroom</t>
  </si>
  <si>
    <t>Three Bedroom</t>
  </si>
  <si>
    <t>Four Bedroom</t>
  </si>
  <si>
    <t>Population</t>
  </si>
  <si>
    <t>Percent Change</t>
  </si>
  <si>
    <t>mean</t>
  </si>
  <si>
    <t>% Change</t>
  </si>
  <si>
    <t>AK</t>
  </si>
  <si>
    <t>AL</t>
  </si>
  <si>
    <t>AR</t>
  </si>
  <si>
    <t>AS</t>
  </si>
  <si>
    <t>AZ</t>
  </si>
  <si>
    <t>CA</t>
  </si>
  <si>
    <t>CO</t>
  </si>
  <si>
    <t>CT</t>
  </si>
  <si>
    <t>DC</t>
  </si>
  <si>
    <t>DE</t>
  </si>
  <si>
    <t>FL</t>
  </si>
  <si>
    <t>GA</t>
  </si>
  <si>
    <t>GU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</si>
  <si>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</si>
  <si>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</si>
  <si>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</si>
  <si>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</si>
  <si>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</si>
  <si>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</si>
  <si>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</si>
  <si>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</si>
  <si>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</si>
  <si>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</si>
  <si>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</si>
  <si>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</si>
  <si>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</si>
  <si>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</si>
  <si>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MP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</si>
  <si>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</si>
  <si>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</si>
  <si>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</si>
  <si>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</si>
  <si>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</si>
  <si>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</si>
  <si>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</si>
  <si>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</si>
  <si>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</si>
  <si>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</si>
  <si>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</si>
  <si>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</si>
  <si>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</si>
  <si>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</si>
  <si>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</si>
  <si>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</si>
  <si>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</si>
  <si>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</si>
  <si>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</si>
  <si>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</si>
  <si>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</si>
  <si>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</si>
  <si>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VI</t>
  </si>
  <si>
    <t>VT</t>
  </si>
  <si>
    <t>WA</t>
  </si>
  <si>
    <t>WI</t>
  </si>
  <si>
    <t>WV</t>
  </si>
  <si>
    <t>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</si>
</sst>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886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8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81"/>
  <sheetViews>
    <sheetView tabSelected="1" topLeftCell="C1" workbookViewId="0">
      <selection activeCell="M19" sqref="M19"/>
    </sheetView>
  </sheetViews>
  <sheetFormatPr baseColWidth="10" defaultRowHeight="16" x14ac:dyDescent="0.2"/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 s="2" customFormat="1" x14ac:dyDescent="0.2">
      <c r="A2" s="2">
        <v>168</v>
      </c>
      <c r="B2" s="2" t="s">
        <v>11</v>
      </c>
      <c r="C2" s="2">
        <v>2018</v>
      </c>
      <c r="D2" s="2">
        <v>842.86</v>
      </c>
      <c r="E2" s="2">
        <v>948.86</v>
      </c>
      <c r="F2" s="2">
        <v>1183.5899999999999</v>
      </c>
      <c r="G2" s="2">
        <v>1575.9</v>
      </c>
      <c r="H2" s="2">
        <v>1848.17</v>
      </c>
      <c r="I2" s="2">
        <v>24490.720000000001</v>
      </c>
      <c r="J2" s="2">
        <v>-0.01</v>
      </c>
      <c r="K2" s="2">
        <v>1279.876</v>
      </c>
    </row>
    <row r="3" spans="1:12" x14ac:dyDescent="0.2">
      <c r="A3">
        <v>112</v>
      </c>
      <c r="B3" t="s">
        <v>11</v>
      </c>
      <c r="C3">
        <v>2019</v>
      </c>
      <c r="D3">
        <v>863.97</v>
      </c>
      <c r="E3">
        <v>977.31</v>
      </c>
      <c r="F3">
        <v>1221.3800000000001</v>
      </c>
      <c r="G3">
        <v>1623.93</v>
      </c>
      <c r="H3">
        <v>1866.03</v>
      </c>
      <c r="I3">
        <v>24490.720000000001</v>
      </c>
      <c r="J3">
        <v>0.03</v>
      </c>
      <c r="K3">
        <v>1310.5239999999999</v>
      </c>
      <c r="L3">
        <v>2.394607E-2</v>
      </c>
    </row>
    <row r="4" spans="1:12" x14ac:dyDescent="0.2">
      <c r="A4">
        <v>56</v>
      </c>
      <c r="B4" t="s">
        <v>11</v>
      </c>
      <c r="C4">
        <v>2020</v>
      </c>
      <c r="D4">
        <v>902.24</v>
      </c>
      <c r="E4">
        <v>1022.24</v>
      </c>
      <c r="F4">
        <v>1276.03</v>
      </c>
      <c r="G4">
        <v>1696</v>
      </c>
      <c r="H4">
        <v>1926.31</v>
      </c>
      <c r="I4">
        <v>25467.93</v>
      </c>
      <c r="J4">
        <v>0.04</v>
      </c>
      <c r="K4">
        <v>1364.5640000000001</v>
      </c>
      <c r="L4">
        <v>4.1239999999999999E-2</v>
      </c>
    </row>
    <row r="5" spans="1:12" x14ac:dyDescent="0.2">
      <c r="A5">
        <v>0</v>
      </c>
      <c r="B5" t="s">
        <v>11</v>
      </c>
      <c r="C5">
        <v>2021</v>
      </c>
      <c r="D5">
        <v>850.97</v>
      </c>
      <c r="E5">
        <v>951.28</v>
      </c>
      <c r="F5">
        <v>1200.1400000000001</v>
      </c>
      <c r="G5">
        <v>1582.72</v>
      </c>
      <c r="H5">
        <v>1815.38</v>
      </c>
      <c r="I5">
        <v>25467.93</v>
      </c>
      <c r="J5" s="1">
        <f>L5</f>
        <v>-6.1899625081710846E-2</v>
      </c>
      <c r="K5">
        <v>1280.098</v>
      </c>
      <c r="L5">
        <f>((AVERAGE(D5:H5))-(AVERAGE(D4:H4)))/(AVERAGE(D4:H4))</f>
        <v>-6.1899625081710846E-2</v>
      </c>
    </row>
    <row r="6" spans="1:12" x14ac:dyDescent="0.2">
      <c r="A6">
        <v>224</v>
      </c>
      <c r="B6" t="s">
        <v>11</v>
      </c>
      <c r="C6">
        <v>2022</v>
      </c>
      <c r="D6">
        <v>864.45</v>
      </c>
      <c r="E6">
        <v>962.66</v>
      </c>
      <c r="F6">
        <v>1236.45</v>
      </c>
      <c r="G6">
        <v>1619.83</v>
      </c>
      <c r="H6">
        <v>1890.34</v>
      </c>
      <c r="I6">
        <v>25467.93</v>
      </c>
      <c r="J6" s="1">
        <f>L6</f>
        <v>2.7066677707487947E-2</v>
      </c>
      <c r="K6">
        <v>1314.7460000000001</v>
      </c>
      <c r="L6">
        <f>((AVERAGE(D6:H6))-(AVERAGE(D5:H5)))/(AVERAGE(D5:H5))</f>
        <v>2.7066677707487947E-2</v>
      </c>
    </row>
    <row r="7" spans="1:12" s="2" customFormat="1" x14ac:dyDescent="0.2">
      <c r="A7" s="2">
        <v>169</v>
      </c>
      <c r="B7" s="2" t="s">
        <v>12</v>
      </c>
      <c r="C7" s="2">
        <v>2018</v>
      </c>
      <c r="D7" s="2">
        <v>519.12</v>
      </c>
      <c r="E7" s="2">
        <v>554.07000000000005</v>
      </c>
      <c r="F7" s="2">
        <v>682.06</v>
      </c>
      <c r="G7" s="2">
        <v>911.72</v>
      </c>
      <c r="H7" s="2">
        <v>1050.6099999999999</v>
      </c>
      <c r="I7" s="2">
        <v>71339.34</v>
      </c>
      <c r="J7" s="2">
        <v>-0.01</v>
      </c>
      <c r="K7" s="2">
        <v>743.51599999999996</v>
      </c>
    </row>
    <row r="8" spans="1:12" x14ac:dyDescent="0.2">
      <c r="A8">
        <v>113</v>
      </c>
      <c r="B8" t="s">
        <v>12</v>
      </c>
      <c r="C8">
        <v>2019</v>
      </c>
      <c r="D8">
        <v>530.29999999999995</v>
      </c>
      <c r="E8">
        <v>569.61</v>
      </c>
      <c r="F8">
        <v>697.54</v>
      </c>
      <c r="G8">
        <v>925.31</v>
      </c>
      <c r="H8">
        <v>1068.1300000000001</v>
      </c>
      <c r="I8">
        <v>71339.34</v>
      </c>
      <c r="J8" s="1">
        <f>L8</f>
        <v>1.9719817730889495E-2</v>
      </c>
      <c r="K8">
        <v>758.178</v>
      </c>
      <c r="L8">
        <f>((AVERAGE(D8:H8))-(AVERAGE(D7:H7)))/(AVERAGE(D7:H7))</f>
        <v>1.9719817730889495E-2</v>
      </c>
    </row>
    <row r="9" spans="1:12" x14ac:dyDescent="0.2">
      <c r="A9">
        <v>57</v>
      </c>
      <c r="B9" t="s">
        <v>12</v>
      </c>
      <c r="C9">
        <v>2020</v>
      </c>
      <c r="D9">
        <v>533.9</v>
      </c>
      <c r="E9">
        <v>575.87</v>
      </c>
      <c r="F9">
        <v>700.64</v>
      </c>
      <c r="G9">
        <v>924.25</v>
      </c>
      <c r="H9">
        <v>1064.9000000000001</v>
      </c>
      <c r="I9">
        <v>72399.63</v>
      </c>
      <c r="J9" s="1">
        <f t="shared" ref="J9:J16" si="0">L9</f>
        <v>2.2870618772900786E-3</v>
      </c>
      <c r="K9">
        <v>759.91200000000003</v>
      </c>
      <c r="L9">
        <f>((AVERAGE(D9:H9))-(AVERAGE(D8:H8)))/(AVERAGE(D8:H8))</f>
        <v>2.2870618772900786E-3</v>
      </c>
    </row>
    <row r="10" spans="1:12" x14ac:dyDescent="0.2">
      <c r="A10">
        <v>1</v>
      </c>
      <c r="B10" t="s">
        <v>12</v>
      </c>
      <c r="C10">
        <v>2021</v>
      </c>
      <c r="D10">
        <v>548.28</v>
      </c>
      <c r="E10">
        <v>591.99</v>
      </c>
      <c r="F10">
        <v>725.82</v>
      </c>
      <c r="G10">
        <v>949.51</v>
      </c>
      <c r="H10">
        <v>1094.6300000000001</v>
      </c>
      <c r="I10">
        <v>72399.63</v>
      </c>
      <c r="J10" s="1">
        <f t="shared" si="0"/>
        <v>2.9127056817105156E-2</v>
      </c>
      <c r="K10">
        <v>782.04600000000005</v>
      </c>
      <c r="L10">
        <f t="shared" ref="L10:L73" si="1">((AVERAGE(D10:H10))-(AVERAGE(D9:H9)))/(AVERAGE(D9:H9))</f>
        <v>2.9127056817105156E-2</v>
      </c>
    </row>
    <row r="11" spans="1:12" x14ac:dyDescent="0.2">
      <c r="A11">
        <v>225</v>
      </c>
      <c r="B11" t="s">
        <v>12</v>
      </c>
      <c r="C11">
        <v>2022</v>
      </c>
      <c r="D11">
        <v>586.07000000000005</v>
      </c>
      <c r="E11">
        <v>627.84</v>
      </c>
      <c r="F11">
        <v>773.81</v>
      </c>
      <c r="G11">
        <v>1004.81</v>
      </c>
      <c r="H11">
        <v>1154.52</v>
      </c>
      <c r="I11">
        <v>72399.63</v>
      </c>
      <c r="J11" s="1">
        <f t="shared" si="0"/>
        <v>6.0564212335335522E-2</v>
      </c>
      <c r="K11">
        <v>829.41</v>
      </c>
      <c r="L11">
        <f t="shared" si="1"/>
        <v>6.0564212335335522E-2</v>
      </c>
    </row>
    <row r="12" spans="1:12" s="2" customFormat="1" x14ac:dyDescent="0.2">
      <c r="A12" s="2">
        <v>170</v>
      </c>
      <c r="B12" s="2" t="s">
        <v>13</v>
      </c>
      <c r="C12" s="2">
        <v>2018</v>
      </c>
      <c r="D12" s="2">
        <v>489.85</v>
      </c>
      <c r="E12" s="2">
        <v>522.07000000000005</v>
      </c>
      <c r="F12" s="2">
        <v>667.11</v>
      </c>
      <c r="G12" s="2">
        <v>888.47</v>
      </c>
      <c r="H12" s="2">
        <v>1016.33</v>
      </c>
      <c r="I12" s="2">
        <v>38878.910000000003</v>
      </c>
      <c r="J12" s="2">
        <v>0.03</v>
      </c>
      <c r="K12" s="2">
        <v>716.76599999999996</v>
      </c>
    </row>
    <row r="13" spans="1:12" x14ac:dyDescent="0.2">
      <c r="A13">
        <v>114</v>
      </c>
      <c r="B13" t="s">
        <v>13</v>
      </c>
      <c r="C13">
        <v>2019</v>
      </c>
      <c r="D13">
        <v>500.84</v>
      </c>
      <c r="E13">
        <v>539.21</v>
      </c>
      <c r="F13">
        <v>686.47</v>
      </c>
      <c r="G13">
        <v>908.01</v>
      </c>
      <c r="H13">
        <v>1051</v>
      </c>
      <c r="I13">
        <v>38878.910000000003</v>
      </c>
      <c r="J13" s="1">
        <f t="shared" si="0"/>
        <v>2.8377462100601915E-2</v>
      </c>
      <c r="K13">
        <v>737.10599999999999</v>
      </c>
      <c r="L13">
        <f t="shared" si="1"/>
        <v>2.8377462100601915E-2</v>
      </c>
    </row>
    <row r="14" spans="1:12" x14ac:dyDescent="0.2">
      <c r="A14">
        <v>58</v>
      </c>
      <c r="B14" t="s">
        <v>13</v>
      </c>
      <c r="C14">
        <v>2020</v>
      </c>
      <c r="D14">
        <v>493.2</v>
      </c>
      <c r="E14">
        <v>532.97</v>
      </c>
      <c r="F14">
        <v>671.77</v>
      </c>
      <c r="G14">
        <v>888.51</v>
      </c>
      <c r="H14">
        <v>1031.95</v>
      </c>
      <c r="I14">
        <v>39706</v>
      </c>
      <c r="J14" s="1">
        <f t="shared" si="0"/>
        <v>-1.8214476615303694E-2</v>
      </c>
      <c r="K14">
        <v>723.68</v>
      </c>
      <c r="L14">
        <f t="shared" si="1"/>
        <v>-1.8214476615303694E-2</v>
      </c>
    </row>
    <row r="15" spans="1:12" x14ac:dyDescent="0.2">
      <c r="A15">
        <v>2</v>
      </c>
      <c r="B15" t="s">
        <v>13</v>
      </c>
      <c r="C15">
        <v>2021</v>
      </c>
      <c r="D15">
        <v>515.95000000000005</v>
      </c>
      <c r="E15">
        <v>553.85</v>
      </c>
      <c r="F15">
        <v>697.31</v>
      </c>
      <c r="G15">
        <v>920.29</v>
      </c>
      <c r="H15">
        <v>1065.1500000000001</v>
      </c>
      <c r="I15">
        <v>39706</v>
      </c>
      <c r="J15" s="1">
        <f t="shared" si="0"/>
        <v>3.7074397523767469E-2</v>
      </c>
      <c r="K15">
        <v>750.51</v>
      </c>
      <c r="L15">
        <f t="shared" si="1"/>
        <v>3.7074397523767469E-2</v>
      </c>
    </row>
    <row r="16" spans="1:12" x14ac:dyDescent="0.2">
      <c r="A16">
        <v>226</v>
      </c>
      <c r="B16" t="s">
        <v>13</v>
      </c>
      <c r="C16">
        <v>2022</v>
      </c>
      <c r="D16">
        <v>524.42999999999995</v>
      </c>
      <c r="E16">
        <v>555.48</v>
      </c>
      <c r="F16">
        <v>697.89</v>
      </c>
      <c r="G16">
        <v>919.95</v>
      </c>
      <c r="H16">
        <v>1062.1300000000001</v>
      </c>
      <c r="I16">
        <v>39706</v>
      </c>
      <c r="J16" s="1">
        <f t="shared" si="0"/>
        <v>1.9533383965570188E-3</v>
      </c>
      <c r="K16">
        <v>751.976</v>
      </c>
      <c r="L16">
        <f t="shared" si="1"/>
        <v>1.9533383965570188E-3</v>
      </c>
    </row>
    <row r="17" spans="1:12" s="2" customFormat="1" x14ac:dyDescent="0.2">
      <c r="A17" s="2">
        <v>171</v>
      </c>
      <c r="B17" s="2" t="s">
        <v>14</v>
      </c>
      <c r="C17" s="2">
        <v>2018</v>
      </c>
      <c r="D17" s="2">
        <v>514</v>
      </c>
      <c r="E17" s="2">
        <v>517</v>
      </c>
      <c r="F17" s="2">
        <v>688</v>
      </c>
      <c r="G17" s="2">
        <v>1001</v>
      </c>
      <c r="H17" s="2">
        <v>1055</v>
      </c>
      <c r="I17" s="2">
        <v>55519</v>
      </c>
      <c r="J17" s="2">
        <v>0.02</v>
      </c>
      <c r="K17" s="2">
        <v>755</v>
      </c>
    </row>
    <row r="18" spans="1:12" x14ac:dyDescent="0.2">
      <c r="A18">
        <v>115</v>
      </c>
      <c r="B18" t="s">
        <v>14</v>
      </c>
      <c r="C18">
        <v>2019</v>
      </c>
      <c r="D18">
        <v>543</v>
      </c>
      <c r="E18">
        <v>547</v>
      </c>
      <c r="F18">
        <v>723</v>
      </c>
      <c r="G18">
        <v>1045</v>
      </c>
      <c r="H18">
        <v>1109</v>
      </c>
      <c r="I18">
        <v>55519</v>
      </c>
      <c r="J18">
        <v>0.05</v>
      </c>
      <c r="K18">
        <v>793.4</v>
      </c>
      <c r="L18">
        <f t="shared" si="1"/>
        <v>5.0860927152317853E-2</v>
      </c>
    </row>
    <row r="19" spans="1:12" x14ac:dyDescent="0.2">
      <c r="A19">
        <v>59</v>
      </c>
      <c r="B19" t="s">
        <v>14</v>
      </c>
      <c r="C19">
        <v>2020</v>
      </c>
      <c r="D19">
        <v>564</v>
      </c>
      <c r="E19">
        <v>568</v>
      </c>
      <c r="F19">
        <v>748</v>
      </c>
      <c r="G19">
        <v>1079</v>
      </c>
      <c r="H19">
        <v>1147</v>
      </c>
      <c r="I19">
        <v>55519</v>
      </c>
      <c r="J19">
        <v>0.03</v>
      </c>
      <c r="K19">
        <v>821.2</v>
      </c>
      <c r="L19">
        <f t="shared" si="1"/>
        <v>3.5039072346861697E-2</v>
      </c>
    </row>
    <row r="20" spans="1:12" x14ac:dyDescent="0.2">
      <c r="A20">
        <v>3</v>
      </c>
      <c r="B20" t="s">
        <v>14</v>
      </c>
      <c r="C20">
        <v>2021</v>
      </c>
      <c r="D20">
        <v>590</v>
      </c>
      <c r="E20">
        <v>594</v>
      </c>
      <c r="F20">
        <v>783</v>
      </c>
      <c r="G20">
        <v>1121</v>
      </c>
      <c r="H20">
        <v>1201</v>
      </c>
      <c r="I20">
        <v>55519</v>
      </c>
      <c r="J20" s="1">
        <f t="shared" ref="J20:J21" si="2">L20</f>
        <v>4.4568923526546407E-2</v>
      </c>
      <c r="K20">
        <v>857.8</v>
      </c>
      <c r="L20">
        <f t="shared" si="1"/>
        <v>4.4568923526546407E-2</v>
      </c>
    </row>
    <row r="21" spans="1:12" x14ac:dyDescent="0.2">
      <c r="A21">
        <v>227</v>
      </c>
      <c r="B21" t="s">
        <v>14</v>
      </c>
      <c r="C21">
        <v>2022</v>
      </c>
      <c r="D21">
        <v>614</v>
      </c>
      <c r="E21">
        <v>618</v>
      </c>
      <c r="F21">
        <v>813</v>
      </c>
      <c r="G21">
        <v>1155</v>
      </c>
      <c r="H21">
        <v>1247</v>
      </c>
      <c r="I21">
        <v>55519</v>
      </c>
      <c r="J21" s="1">
        <f t="shared" si="2"/>
        <v>3.6838423875029176E-2</v>
      </c>
      <c r="K21">
        <v>889.4</v>
      </c>
      <c r="L21">
        <f t="shared" si="1"/>
        <v>3.6838423875029176E-2</v>
      </c>
    </row>
    <row r="22" spans="1:12" s="2" customFormat="1" x14ac:dyDescent="0.2">
      <c r="A22" s="2">
        <v>172</v>
      </c>
      <c r="B22" s="2" t="s">
        <v>15</v>
      </c>
      <c r="C22" s="2">
        <v>2018</v>
      </c>
      <c r="D22" s="2">
        <v>604.92999999999995</v>
      </c>
      <c r="E22" s="2">
        <v>654.27</v>
      </c>
      <c r="F22" s="2">
        <v>834.13</v>
      </c>
      <c r="G22" s="2">
        <v>1156.27</v>
      </c>
      <c r="H22" s="2">
        <v>1320.53</v>
      </c>
      <c r="I22" s="2">
        <v>426134.47</v>
      </c>
      <c r="J22" s="2">
        <v>0.03</v>
      </c>
      <c r="K22" s="2">
        <v>914.02599999999995</v>
      </c>
    </row>
    <row r="23" spans="1:12" x14ac:dyDescent="0.2">
      <c r="A23">
        <v>116</v>
      </c>
      <c r="B23" t="s">
        <v>15</v>
      </c>
      <c r="C23">
        <v>2019</v>
      </c>
      <c r="D23">
        <v>637.33000000000004</v>
      </c>
      <c r="E23">
        <v>688.13</v>
      </c>
      <c r="F23">
        <v>878.4</v>
      </c>
      <c r="G23">
        <v>1217.8</v>
      </c>
      <c r="H23">
        <v>1377.2</v>
      </c>
      <c r="I23">
        <v>426134.47</v>
      </c>
      <c r="J23">
        <v>0.05</v>
      </c>
      <c r="K23">
        <v>959.77200000000005</v>
      </c>
      <c r="L23">
        <f t="shared" si="1"/>
        <v>5.0048904516939191E-2</v>
      </c>
    </row>
    <row r="24" spans="1:12" x14ac:dyDescent="0.2">
      <c r="A24">
        <v>60</v>
      </c>
      <c r="B24" t="s">
        <v>15</v>
      </c>
      <c r="C24">
        <v>2020</v>
      </c>
      <c r="D24">
        <v>656</v>
      </c>
      <c r="E24">
        <v>726.8</v>
      </c>
      <c r="F24">
        <v>916.93</v>
      </c>
      <c r="G24">
        <v>1275.8</v>
      </c>
      <c r="H24">
        <v>1428.93</v>
      </c>
      <c r="I24">
        <v>453995.67</v>
      </c>
      <c r="J24">
        <v>0.04</v>
      </c>
      <c r="K24">
        <v>1000.8920000000001</v>
      </c>
      <c r="L24">
        <f t="shared" si="1"/>
        <v>4.2843508666641786E-2</v>
      </c>
    </row>
    <row r="25" spans="1:12" x14ac:dyDescent="0.2">
      <c r="A25">
        <v>4</v>
      </c>
      <c r="B25" t="s">
        <v>15</v>
      </c>
      <c r="C25">
        <v>2021</v>
      </c>
      <c r="D25">
        <v>698.13</v>
      </c>
      <c r="E25">
        <v>767.93</v>
      </c>
      <c r="F25">
        <v>970.13</v>
      </c>
      <c r="G25">
        <v>1340.2</v>
      </c>
      <c r="H25">
        <v>1493.53</v>
      </c>
      <c r="I25">
        <v>453995.67</v>
      </c>
      <c r="J25" s="1">
        <f t="shared" ref="J25:J26" si="3">L25</f>
        <v>5.304468414174543E-2</v>
      </c>
      <c r="K25">
        <v>1053.9839999999999</v>
      </c>
      <c r="L25">
        <f t="shared" si="1"/>
        <v>5.304468414174543E-2</v>
      </c>
    </row>
    <row r="26" spans="1:12" x14ac:dyDescent="0.2">
      <c r="A26">
        <v>228</v>
      </c>
      <c r="B26" t="s">
        <v>15</v>
      </c>
      <c r="C26">
        <v>2022</v>
      </c>
      <c r="D26">
        <v>752.13</v>
      </c>
      <c r="E26">
        <v>825</v>
      </c>
      <c r="F26">
        <v>1039.67</v>
      </c>
      <c r="G26">
        <v>1419.67</v>
      </c>
      <c r="H26">
        <v>1591.87</v>
      </c>
      <c r="I26">
        <v>453995.67</v>
      </c>
      <c r="J26" s="1">
        <f t="shared" si="3"/>
        <v>6.8012417645808856E-2</v>
      </c>
      <c r="K26">
        <v>1125.6679999999999</v>
      </c>
      <c r="L26">
        <f t="shared" si="1"/>
        <v>6.8012417645808856E-2</v>
      </c>
    </row>
    <row r="27" spans="1:12" s="2" customFormat="1" x14ac:dyDescent="0.2">
      <c r="A27" s="2">
        <v>173</v>
      </c>
      <c r="B27" s="2" t="s">
        <v>16</v>
      </c>
      <c r="C27" s="2">
        <v>2018</v>
      </c>
      <c r="D27" s="2">
        <v>884.02</v>
      </c>
      <c r="E27" s="2">
        <v>1017.28</v>
      </c>
      <c r="F27" s="2">
        <v>1297.78</v>
      </c>
      <c r="G27" s="2">
        <v>1812.53</v>
      </c>
      <c r="H27" s="2">
        <v>2111.34</v>
      </c>
      <c r="I27" s="2">
        <v>642309.59</v>
      </c>
      <c r="J27" s="2">
        <v>0.04</v>
      </c>
      <c r="K27" s="2">
        <v>1424.59</v>
      </c>
    </row>
    <row r="28" spans="1:12" x14ac:dyDescent="0.2">
      <c r="A28">
        <v>117</v>
      </c>
      <c r="B28" t="s">
        <v>16</v>
      </c>
      <c r="C28">
        <v>2019</v>
      </c>
      <c r="D28">
        <v>930.43</v>
      </c>
      <c r="E28">
        <v>1069.3399999999999</v>
      </c>
      <c r="F28">
        <v>1360.62</v>
      </c>
      <c r="G28">
        <v>1897</v>
      </c>
      <c r="H28">
        <v>2199.38</v>
      </c>
      <c r="I28">
        <v>642309.59</v>
      </c>
      <c r="J28">
        <v>0.05</v>
      </c>
      <c r="K28">
        <v>1491.354</v>
      </c>
      <c r="L28">
        <f t="shared" si="1"/>
        <v>4.6865413908563094E-2</v>
      </c>
    </row>
    <row r="29" spans="1:12" x14ac:dyDescent="0.2">
      <c r="A29">
        <v>61</v>
      </c>
      <c r="B29" t="s">
        <v>16</v>
      </c>
      <c r="C29">
        <v>2020</v>
      </c>
      <c r="D29">
        <v>997.41</v>
      </c>
      <c r="E29">
        <v>1139.8599999999999</v>
      </c>
      <c r="F29">
        <v>1445.78</v>
      </c>
      <c r="G29">
        <v>2010.6</v>
      </c>
      <c r="H29">
        <v>2328.4699999999998</v>
      </c>
      <c r="I29">
        <v>672118.19</v>
      </c>
      <c r="J29">
        <v>0.06</v>
      </c>
      <c r="K29">
        <v>1584.424</v>
      </c>
      <c r="L29">
        <f t="shared" si="1"/>
        <v>6.2406377023831998E-2</v>
      </c>
    </row>
    <row r="30" spans="1:12" x14ac:dyDescent="0.2">
      <c r="A30">
        <v>5</v>
      </c>
      <c r="B30" t="s">
        <v>16</v>
      </c>
      <c r="C30">
        <v>2021</v>
      </c>
      <c r="D30">
        <v>1061.22</v>
      </c>
      <c r="E30">
        <v>1204.81</v>
      </c>
      <c r="F30">
        <v>1525.86</v>
      </c>
      <c r="G30">
        <v>2103.29</v>
      </c>
      <c r="H30">
        <v>2437.2399999999998</v>
      </c>
      <c r="I30">
        <v>672118.19</v>
      </c>
      <c r="J30" s="1">
        <f>L30</f>
        <v>5.1791692122815584E-2</v>
      </c>
      <c r="K30">
        <v>1666.4839999999999</v>
      </c>
      <c r="L30">
        <f t="shared" si="1"/>
        <v>5.1791692122815584E-2</v>
      </c>
    </row>
    <row r="31" spans="1:12" x14ac:dyDescent="0.2">
      <c r="A31">
        <v>229</v>
      </c>
      <c r="B31" t="s">
        <v>16</v>
      </c>
      <c r="C31">
        <v>2022</v>
      </c>
      <c r="D31">
        <v>1079.8599999999999</v>
      </c>
      <c r="E31">
        <v>1213.53</v>
      </c>
      <c r="F31">
        <v>1533.02</v>
      </c>
      <c r="G31">
        <v>2102.6</v>
      </c>
      <c r="H31">
        <v>2426.1</v>
      </c>
      <c r="I31">
        <v>672118.19</v>
      </c>
      <c r="J31" s="1">
        <f t="shared" ref="J30:J31" si="4">L31</f>
        <v>2.7230984515905741E-3</v>
      </c>
      <c r="K31">
        <v>1671.0219999999999</v>
      </c>
      <c r="L31">
        <f t="shared" si="1"/>
        <v>2.7230984515905741E-3</v>
      </c>
    </row>
    <row r="32" spans="1:12" s="2" customFormat="1" x14ac:dyDescent="0.2">
      <c r="A32" s="2">
        <v>174</v>
      </c>
      <c r="B32" s="2" t="s">
        <v>17</v>
      </c>
      <c r="C32" s="2">
        <v>2018</v>
      </c>
      <c r="D32" s="2">
        <v>709.91</v>
      </c>
      <c r="E32" s="2">
        <v>774.91</v>
      </c>
      <c r="F32" s="2">
        <v>981.73</v>
      </c>
      <c r="G32" s="2">
        <v>1354.08</v>
      </c>
      <c r="H32" s="2">
        <v>1545.09</v>
      </c>
      <c r="I32" s="2">
        <v>78581.19</v>
      </c>
      <c r="J32" s="2">
        <v>0.08</v>
      </c>
      <c r="K32" s="2">
        <v>1073.144</v>
      </c>
    </row>
    <row r="33" spans="1:12" x14ac:dyDescent="0.2">
      <c r="A33">
        <v>118</v>
      </c>
      <c r="B33" t="s">
        <v>17</v>
      </c>
      <c r="C33">
        <v>2019</v>
      </c>
      <c r="D33">
        <v>743.69</v>
      </c>
      <c r="E33">
        <v>805.81</v>
      </c>
      <c r="F33">
        <v>1013.36</v>
      </c>
      <c r="G33">
        <v>1386</v>
      </c>
      <c r="H33">
        <v>1593.78</v>
      </c>
      <c r="I33">
        <v>78581.19</v>
      </c>
      <c r="J33">
        <v>0.03</v>
      </c>
      <c r="K33">
        <v>1108.528</v>
      </c>
      <c r="L33">
        <f t="shared" si="1"/>
        <v>3.2972275854871308E-2</v>
      </c>
    </row>
    <row r="34" spans="1:12" x14ac:dyDescent="0.2">
      <c r="A34">
        <v>62</v>
      </c>
      <c r="B34" t="s">
        <v>17</v>
      </c>
      <c r="C34">
        <v>2020</v>
      </c>
      <c r="D34">
        <v>745.38</v>
      </c>
      <c r="E34">
        <v>801.48</v>
      </c>
      <c r="F34">
        <v>1007.53</v>
      </c>
      <c r="G34">
        <v>1367.03</v>
      </c>
      <c r="H34">
        <v>1587.11</v>
      </c>
      <c r="I34">
        <v>84945.62</v>
      </c>
      <c r="J34">
        <v>-0.01</v>
      </c>
      <c r="K34">
        <v>1101.7059999999999</v>
      </c>
      <c r="L34">
        <f t="shared" si="1"/>
        <v>-6.1541070681120514E-3</v>
      </c>
    </row>
    <row r="35" spans="1:12" x14ac:dyDescent="0.2">
      <c r="A35">
        <v>6</v>
      </c>
      <c r="B35" t="s">
        <v>17</v>
      </c>
      <c r="C35">
        <v>2021</v>
      </c>
      <c r="D35">
        <v>813.66</v>
      </c>
      <c r="E35">
        <v>867.86</v>
      </c>
      <c r="F35">
        <v>1088.31</v>
      </c>
      <c r="G35">
        <v>1463.31</v>
      </c>
      <c r="H35">
        <v>1699.22</v>
      </c>
      <c r="I35">
        <v>84945.62</v>
      </c>
      <c r="J35" s="1">
        <f t="shared" ref="J35:J36" si="5">L35</f>
        <v>7.6940672012315525E-2</v>
      </c>
      <c r="K35">
        <v>1186.472</v>
      </c>
      <c r="L35">
        <f t="shared" si="1"/>
        <v>7.6940672012315525E-2</v>
      </c>
    </row>
    <row r="36" spans="1:12" x14ac:dyDescent="0.2">
      <c r="A36">
        <v>230</v>
      </c>
      <c r="B36" t="s">
        <v>17</v>
      </c>
      <c r="C36">
        <v>2022</v>
      </c>
      <c r="D36">
        <v>898.08</v>
      </c>
      <c r="E36">
        <v>958.67</v>
      </c>
      <c r="F36">
        <v>1201.19</v>
      </c>
      <c r="G36">
        <v>1594.88</v>
      </c>
      <c r="H36">
        <v>1868</v>
      </c>
      <c r="I36">
        <v>84945.62</v>
      </c>
      <c r="J36" s="1">
        <f t="shared" si="5"/>
        <v>9.9194924111146332E-2</v>
      </c>
      <c r="K36">
        <v>1304.164</v>
      </c>
      <c r="L36">
        <f t="shared" si="1"/>
        <v>9.9194924111146332E-2</v>
      </c>
    </row>
    <row r="37" spans="1:12" s="2" customFormat="1" x14ac:dyDescent="0.2">
      <c r="A37" s="2">
        <v>175</v>
      </c>
      <c r="B37" s="2" t="s">
        <v>18</v>
      </c>
      <c r="C37" s="2">
        <v>2018</v>
      </c>
      <c r="D37" s="2">
        <v>832.51</v>
      </c>
      <c r="E37" s="2">
        <v>984.8</v>
      </c>
      <c r="F37" s="2">
        <v>1230.75</v>
      </c>
      <c r="G37" s="2">
        <v>1572.28</v>
      </c>
      <c r="H37" s="2">
        <v>1800.18</v>
      </c>
      <c r="I37" s="2">
        <v>21148.5</v>
      </c>
      <c r="J37" s="2">
        <v>0.02</v>
      </c>
      <c r="K37" s="2">
        <v>1284.104</v>
      </c>
    </row>
    <row r="38" spans="1:12" x14ac:dyDescent="0.2">
      <c r="A38">
        <v>119</v>
      </c>
      <c r="B38" t="s">
        <v>18</v>
      </c>
      <c r="C38">
        <v>2019</v>
      </c>
      <c r="D38">
        <v>836.39</v>
      </c>
      <c r="E38">
        <v>999.12</v>
      </c>
      <c r="F38">
        <v>1251.17</v>
      </c>
      <c r="G38">
        <v>1599.62</v>
      </c>
      <c r="H38">
        <v>1831.41</v>
      </c>
      <c r="I38">
        <v>21148.5</v>
      </c>
      <c r="J38">
        <v>0.02</v>
      </c>
      <c r="K38">
        <v>1303.5419999999999</v>
      </c>
      <c r="L38">
        <f t="shared" si="1"/>
        <v>1.5137403200986738E-2</v>
      </c>
    </row>
    <row r="39" spans="1:12" x14ac:dyDescent="0.2">
      <c r="A39">
        <v>63</v>
      </c>
      <c r="B39" t="s">
        <v>18</v>
      </c>
      <c r="C39">
        <v>2020</v>
      </c>
      <c r="D39">
        <v>869.83</v>
      </c>
      <c r="E39">
        <v>1033.05</v>
      </c>
      <c r="F39">
        <v>1293.5999999999999</v>
      </c>
      <c r="G39">
        <v>1643.98</v>
      </c>
      <c r="H39">
        <v>1907.41</v>
      </c>
      <c r="I39">
        <v>21269.02</v>
      </c>
      <c r="J39">
        <v>0.03</v>
      </c>
      <c r="K39">
        <v>1349.5740000000001</v>
      </c>
      <c r="L39">
        <f t="shared" si="1"/>
        <v>3.5313016381520623E-2</v>
      </c>
    </row>
    <row r="40" spans="1:12" x14ac:dyDescent="0.2">
      <c r="A40">
        <v>7</v>
      </c>
      <c r="B40" t="s">
        <v>18</v>
      </c>
      <c r="C40">
        <v>2021</v>
      </c>
      <c r="D40">
        <v>910.39</v>
      </c>
      <c r="E40">
        <v>1079.43</v>
      </c>
      <c r="F40">
        <v>1347.6</v>
      </c>
      <c r="G40">
        <v>1701.49</v>
      </c>
      <c r="H40">
        <v>2004.27</v>
      </c>
      <c r="I40">
        <v>21269.02</v>
      </c>
      <c r="J40" s="1">
        <f>L40</f>
        <v>4.3763439426070666E-2</v>
      </c>
      <c r="K40">
        <v>1408.636</v>
      </c>
      <c r="L40">
        <f t="shared" si="1"/>
        <v>4.3763439426070666E-2</v>
      </c>
    </row>
    <row r="41" spans="1:12" x14ac:dyDescent="0.2">
      <c r="A41">
        <v>231</v>
      </c>
      <c r="B41" t="s">
        <v>18</v>
      </c>
      <c r="C41">
        <v>2022</v>
      </c>
      <c r="D41">
        <v>927.13</v>
      </c>
      <c r="E41">
        <v>1092.29</v>
      </c>
      <c r="F41">
        <v>1366.5</v>
      </c>
      <c r="G41">
        <v>1716.09</v>
      </c>
      <c r="H41">
        <v>2036.31</v>
      </c>
      <c r="I41">
        <v>21269.02</v>
      </c>
      <c r="J41" s="1">
        <f>L41</f>
        <v>1.3508102873985912E-2</v>
      </c>
      <c r="K41">
        <v>1427.664</v>
      </c>
      <c r="L41">
        <f t="shared" si="1"/>
        <v>1.3508102873985912E-2</v>
      </c>
    </row>
    <row r="42" spans="1:12" s="2" customFormat="1" x14ac:dyDescent="0.2">
      <c r="A42" s="2">
        <v>176</v>
      </c>
      <c r="B42" s="2" t="s">
        <v>19</v>
      </c>
      <c r="C42" s="2">
        <v>2018</v>
      </c>
      <c r="D42" s="2">
        <v>1504</v>
      </c>
      <c r="E42" s="2">
        <v>1561</v>
      </c>
      <c r="F42" s="2">
        <v>1793</v>
      </c>
      <c r="G42" s="2">
        <v>2353</v>
      </c>
      <c r="H42" s="2">
        <v>2902</v>
      </c>
      <c r="I42" s="2">
        <v>601723</v>
      </c>
      <c r="J42" s="2">
        <v>0.03</v>
      </c>
      <c r="K42" s="2">
        <v>2022.6</v>
      </c>
    </row>
    <row r="43" spans="1:12" x14ac:dyDescent="0.2">
      <c r="A43">
        <v>120</v>
      </c>
      <c r="B43" t="s">
        <v>19</v>
      </c>
      <c r="C43">
        <v>2019</v>
      </c>
      <c r="D43">
        <v>1415</v>
      </c>
      <c r="E43">
        <v>1454</v>
      </c>
      <c r="F43">
        <v>1665</v>
      </c>
      <c r="G43">
        <v>2176</v>
      </c>
      <c r="H43">
        <v>2678</v>
      </c>
      <c r="I43">
        <v>601723</v>
      </c>
      <c r="J43">
        <v>-7.0000000000000007E-2</v>
      </c>
      <c r="K43">
        <v>1877.6</v>
      </c>
      <c r="L43">
        <f t="shared" si="1"/>
        <v>-7.1689904083852465E-2</v>
      </c>
    </row>
    <row r="44" spans="1:12" x14ac:dyDescent="0.2">
      <c r="A44">
        <v>64</v>
      </c>
      <c r="B44" t="s">
        <v>19</v>
      </c>
      <c r="C44">
        <v>2020</v>
      </c>
      <c r="D44">
        <v>1457</v>
      </c>
      <c r="E44">
        <v>1500</v>
      </c>
      <c r="F44">
        <v>1707</v>
      </c>
      <c r="G44">
        <v>2215</v>
      </c>
      <c r="H44">
        <v>2707</v>
      </c>
      <c r="I44">
        <v>672390</v>
      </c>
      <c r="J44">
        <v>0.03</v>
      </c>
      <c r="K44">
        <v>1917.2</v>
      </c>
      <c r="L44">
        <f t="shared" si="1"/>
        <v>2.1090754154239527E-2</v>
      </c>
    </row>
    <row r="45" spans="1:12" x14ac:dyDescent="0.2">
      <c r="A45">
        <v>8</v>
      </c>
      <c r="B45" t="s">
        <v>19</v>
      </c>
      <c r="C45">
        <v>2021</v>
      </c>
      <c r="D45">
        <v>1513</v>
      </c>
      <c r="E45">
        <v>1548</v>
      </c>
      <c r="F45">
        <v>1765</v>
      </c>
      <c r="G45">
        <v>2263</v>
      </c>
      <c r="H45">
        <v>2742</v>
      </c>
      <c r="I45">
        <v>672390</v>
      </c>
      <c r="J45" s="1">
        <f>L45</f>
        <v>2.5558105570623827E-2</v>
      </c>
      <c r="K45">
        <v>1966.2</v>
      </c>
      <c r="L45">
        <f t="shared" si="1"/>
        <v>2.5558105570623827E-2</v>
      </c>
    </row>
    <row r="46" spans="1:12" x14ac:dyDescent="0.2">
      <c r="A46">
        <v>232</v>
      </c>
      <c r="B46" t="s">
        <v>19</v>
      </c>
      <c r="C46">
        <v>2022</v>
      </c>
      <c r="D46">
        <v>1539</v>
      </c>
      <c r="E46">
        <v>1567</v>
      </c>
      <c r="F46">
        <v>1785</v>
      </c>
      <c r="G46">
        <v>2260</v>
      </c>
      <c r="H46">
        <v>2713</v>
      </c>
      <c r="I46">
        <v>672390</v>
      </c>
      <c r="J46" s="1">
        <f>L46</f>
        <v>3.3567287152883271E-3</v>
      </c>
      <c r="K46">
        <v>1972.8</v>
      </c>
      <c r="L46">
        <f t="shared" si="1"/>
        <v>3.3567287152883271E-3</v>
      </c>
    </row>
    <row r="47" spans="1:12" s="2" customFormat="1" x14ac:dyDescent="0.2">
      <c r="A47" s="2">
        <v>177</v>
      </c>
      <c r="B47" s="2" t="s">
        <v>20</v>
      </c>
      <c r="C47" s="2">
        <v>2018</v>
      </c>
      <c r="D47" s="2">
        <v>750</v>
      </c>
      <c r="E47" s="2">
        <v>849</v>
      </c>
      <c r="F47" s="2">
        <v>1033</v>
      </c>
      <c r="G47" s="2">
        <v>1418.33</v>
      </c>
      <c r="H47" s="2">
        <v>1634</v>
      </c>
      <c r="I47" s="2">
        <v>299311.33</v>
      </c>
      <c r="J47" s="2">
        <v>-0.02</v>
      </c>
      <c r="K47" s="2">
        <v>1136.866</v>
      </c>
    </row>
    <row r="48" spans="1:12" x14ac:dyDescent="0.2">
      <c r="A48">
        <v>121</v>
      </c>
      <c r="B48" t="s">
        <v>20</v>
      </c>
      <c r="C48">
        <v>2019</v>
      </c>
      <c r="D48">
        <v>800</v>
      </c>
      <c r="E48">
        <v>893</v>
      </c>
      <c r="F48">
        <v>1095.67</v>
      </c>
      <c r="G48">
        <v>1503</v>
      </c>
      <c r="H48">
        <v>1742</v>
      </c>
      <c r="I48">
        <v>299311.33</v>
      </c>
      <c r="J48">
        <v>0.08</v>
      </c>
      <c r="K48">
        <v>1206.7339999999999</v>
      </c>
      <c r="L48">
        <f t="shared" si="1"/>
        <v>6.1456671234780477E-2</v>
      </c>
    </row>
    <row r="49" spans="1:12" x14ac:dyDescent="0.2">
      <c r="A49">
        <v>65</v>
      </c>
      <c r="B49" t="s">
        <v>20</v>
      </c>
      <c r="C49">
        <v>2020</v>
      </c>
      <c r="D49">
        <v>793.67</v>
      </c>
      <c r="E49">
        <v>879</v>
      </c>
      <c r="F49">
        <v>1072.67</v>
      </c>
      <c r="G49">
        <v>1463.33</v>
      </c>
      <c r="H49">
        <v>1697.67</v>
      </c>
      <c r="I49">
        <v>314576.67</v>
      </c>
      <c r="J49">
        <v>-0.02</v>
      </c>
      <c r="K49">
        <v>1181.268</v>
      </c>
      <c r="L49">
        <f t="shared" si="1"/>
        <v>-2.1103242305263541E-2</v>
      </c>
    </row>
    <row r="50" spans="1:12" x14ac:dyDescent="0.2">
      <c r="A50">
        <v>9</v>
      </c>
      <c r="B50" t="s">
        <v>20</v>
      </c>
      <c r="C50">
        <v>2021</v>
      </c>
      <c r="D50">
        <v>806.33</v>
      </c>
      <c r="E50">
        <v>893.33</v>
      </c>
      <c r="F50">
        <v>1097</v>
      </c>
      <c r="G50">
        <v>1466.33</v>
      </c>
      <c r="H50">
        <v>1695.67</v>
      </c>
      <c r="I50">
        <v>314576.67</v>
      </c>
      <c r="J50" s="1">
        <f>L50</f>
        <v>8.8582777151331796E-3</v>
      </c>
      <c r="K50">
        <v>1191.732</v>
      </c>
      <c r="L50">
        <f t="shared" si="1"/>
        <v>8.8582777151331796E-3</v>
      </c>
    </row>
    <row r="51" spans="1:12" x14ac:dyDescent="0.2">
      <c r="A51">
        <v>233</v>
      </c>
      <c r="B51" t="s">
        <v>20</v>
      </c>
      <c r="C51">
        <v>2022</v>
      </c>
      <c r="D51">
        <v>814</v>
      </c>
      <c r="E51">
        <v>886.67</v>
      </c>
      <c r="F51">
        <v>1088</v>
      </c>
      <c r="G51">
        <v>1439</v>
      </c>
      <c r="H51">
        <v>1666.33</v>
      </c>
      <c r="I51">
        <v>314576.67</v>
      </c>
      <c r="J51" s="1">
        <f>L51</f>
        <v>-1.0851433040314447E-2</v>
      </c>
      <c r="K51">
        <v>1178.8</v>
      </c>
      <c r="L51">
        <f t="shared" si="1"/>
        <v>-1.0851433040314447E-2</v>
      </c>
    </row>
    <row r="52" spans="1:12" s="2" customFormat="1" x14ac:dyDescent="0.2">
      <c r="A52" s="2">
        <v>178</v>
      </c>
      <c r="B52" s="2" t="s">
        <v>21</v>
      </c>
      <c r="C52" s="2">
        <v>2018</v>
      </c>
      <c r="D52" s="2">
        <v>664.84</v>
      </c>
      <c r="E52" s="2">
        <v>735.79</v>
      </c>
      <c r="F52" s="2">
        <v>903.15</v>
      </c>
      <c r="G52" s="2">
        <v>1218.18</v>
      </c>
      <c r="H52" s="2">
        <v>1431.61</v>
      </c>
      <c r="I52" s="2">
        <v>280616.57</v>
      </c>
      <c r="J52" s="2">
        <v>0.03</v>
      </c>
      <c r="K52" s="2">
        <v>990.71400000000006</v>
      </c>
    </row>
    <row r="53" spans="1:12" x14ac:dyDescent="0.2">
      <c r="A53">
        <v>122</v>
      </c>
      <c r="B53" t="s">
        <v>21</v>
      </c>
      <c r="C53">
        <v>2019</v>
      </c>
      <c r="D53">
        <v>705.43</v>
      </c>
      <c r="E53">
        <v>773.49</v>
      </c>
      <c r="F53">
        <v>946.82</v>
      </c>
      <c r="G53">
        <v>1275.43</v>
      </c>
      <c r="H53">
        <v>1507.9</v>
      </c>
      <c r="I53">
        <v>280616.57</v>
      </c>
      <c r="J53">
        <v>0.04</v>
      </c>
      <c r="K53">
        <v>1041.8140000000001</v>
      </c>
      <c r="L53">
        <f t="shared" si="1"/>
        <v>5.1578962243392049E-2</v>
      </c>
    </row>
    <row r="54" spans="1:12" x14ac:dyDescent="0.2">
      <c r="A54">
        <v>66</v>
      </c>
      <c r="B54" t="s">
        <v>21</v>
      </c>
      <c r="C54">
        <v>2020</v>
      </c>
      <c r="D54">
        <v>742.7</v>
      </c>
      <c r="E54">
        <v>810.63</v>
      </c>
      <c r="F54">
        <v>991.6</v>
      </c>
      <c r="G54">
        <v>1327.9</v>
      </c>
      <c r="H54">
        <v>1574.07</v>
      </c>
      <c r="I54">
        <v>302663.51</v>
      </c>
      <c r="J54">
        <v>0.05</v>
      </c>
      <c r="K54">
        <v>1089.3800000000001</v>
      </c>
      <c r="L54">
        <f t="shared" si="1"/>
        <v>4.5656902287740456E-2</v>
      </c>
    </row>
    <row r="55" spans="1:12" x14ac:dyDescent="0.2">
      <c r="A55">
        <v>10</v>
      </c>
      <c r="B55" t="s">
        <v>21</v>
      </c>
      <c r="C55">
        <v>2021</v>
      </c>
      <c r="D55">
        <v>771.01</v>
      </c>
      <c r="E55">
        <v>835.19</v>
      </c>
      <c r="F55">
        <v>1021.28</v>
      </c>
      <c r="G55">
        <v>1357.61</v>
      </c>
      <c r="H55">
        <v>1609.72</v>
      </c>
      <c r="I55">
        <v>302663.51</v>
      </c>
      <c r="J55" s="1">
        <f>L55</f>
        <v>2.7154895445115672E-2</v>
      </c>
      <c r="K55">
        <v>1118.962</v>
      </c>
      <c r="L55">
        <f t="shared" si="1"/>
        <v>2.7154895445115672E-2</v>
      </c>
    </row>
    <row r="56" spans="1:12" x14ac:dyDescent="0.2">
      <c r="A56">
        <v>234</v>
      </c>
      <c r="B56" t="s">
        <v>21</v>
      </c>
      <c r="C56">
        <v>2022</v>
      </c>
      <c r="D56">
        <v>817.07</v>
      </c>
      <c r="E56">
        <v>882.54</v>
      </c>
      <c r="F56">
        <v>1074.45</v>
      </c>
      <c r="G56">
        <v>1417.78</v>
      </c>
      <c r="H56">
        <v>1676.15</v>
      </c>
      <c r="I56">
        <v>302663.51</v>
      </c>
      <c r="J56" s="1">
        <f>L56</f>
        <v>4.8827395389655741E-2</v>
      </c>
      <c r="K56">
        <v>1173.598</v>
      </c>
      <c r="L56">
        <f t="shared" si="1"/>
        <v>4.8827395389655741E-2</v>
      </c>
    </row>
    <row r="57" spans="1:12" s="2" customFormat="1" x14ac:dyDescent="0.2">
      <c r="A57" s="2">
        <v>179</v>
      </c>
      <c r="B57" s="2" t="s">
        <v>22</v>
      </c>
      <c r="C57" s="2">
        <v>2018</v>
      </c>
      <c r="D57" s="2">
        <v>598.85</v>
      </c>
      <c r="E57" s="2">
        <v>625.17999999999995</v>
      </c>
      <c r="F57" s="2">
        <v>762.35</v>
      </c>
      <c r="G57" s="2">
        <v>1021.45</v>
      </c>
      <c r="H57" s="2">
        <v>1213.1400000000001</v>
      </c>
      <c r="I57" s="2">
        <v>60928.639999999999</v>
      </c>
      <c r="J57" s="2">
        <v>0.06</v>
      </c>
      <c r="K57" s="2">
        <v>844.19399999999996</v>
      </c>
    </row>
    <row r="58" spans="1:12" x14ac:dyDescent="0.2">
      <c r="A58">
        <v>123</v>
      </c>
      <c r="B58" t="s">
        <v>22</v>
      </c>
      <c r="C58">
        <v>2019</v>
      </c>
      <c r="D58">
        <v>618.59</v>
      </c>
      <c r="E58">
        <v>644.97</v>
      </c>
      <c r="F58">
        <v>779.63</v>
      </c>
      <c r="G58">
        <v>1040</v>
      </c>
      <c r="H58">
        <v>1231.03</v>
      </c>
      <c r="I58">
        <v>60928.639999999999</v>
      </c>
      <c r="J58">
        <v>0.02</v>
      </c>
      <c r="K58">
        <v>862.84400000000005</v>
      </c>
      <c r="L58">
        <f t="shared" si="1"/>
        <v>2.209207836113497E-2</v>
      </c>
    </row>
    <row r="59" spans="1:12" x14ac:dyDescent="0.2">
      <c r="A59">
        <v>67</v>
      </c>
      <c r="B59" t="s">
        <v>22</v>
      </c>
      <c r="C59">
        <v>2020</v>
      </c>
      <c r="D59">
        <v>627.82000000000005</v>
      </c>
      <c r="E59">
        <v>655.4</v>
      </c>
      <c r="F59">
        <v>787.64</v>
      </c>
      <c r="G59">
        <v>1040.95</v>
      </c>
      <c r="H59">
        <v>1230.79</v>
      </c>
      <c r="I59">
        <v>64161.19</v>
      </c>
      <c r="J59">
        <v>0.01</v>
      </c>
      <c r="K59">
        <v>868.52</v>
      </c>
      <c r="L59">
        <f t="shared" si="1"/>
        <v>6.5782458938116791E-3</v>
      </c>
    </row>
    <row r="60" spans="1:12" x14ac:dyDescent="0.2">
      <c r="A60">
        <v>11</v>
      </c>
      <c r="B60" t="s">
        <v>22</v>
      </c>
      <c r="C60">
        <v>2021</v>
      </c>
      <c r="D60">
        <v>631.99</v>
      </c>
      <c r="E60">
        <v>658.4</v>
      </c>
      <c r="F60">
        <v>792.7</v>
      </c>
      <c r="G60">
        <v>1041.26</v>
      </c>
      <c r="H60">
        <v>1228.9100000000001</v>
      </c>
      <c r="I60">
        <v>64161.19</v>
      </c>
      <c r="J60" s="1">
        <f>L60</f>
        <v>2.4547506102334405E-3</v>
      </c>
      <c r="K60">
        <v>870.65200000000004</v>
      </c>
      <c r="L60">
        <f t="shared" si="1"/>
        <v>2.4547506102334405E-3</v>
      </c>
    </row>
    <row r="61" spans="1:12" x14ac:dyDescent="0.2">
      <c r="A61">
        <v>235</v>
      </c>
      <c r="B61" t="s">
        <v>22</v>
      </c>
      <c r="C61">
        <v>2022</v>
      </c>
      <c r="D61">
        <v>680.36</v>
      </c>
      <c r="E61">
        <v>706.71</v>
      </c>
      <c r="F61">
        <v>853</v>
      </c>
      <c r="G61">
        <v>1111.97</v>
      </c>
      <c r="H61">
        <v>1310.78</v>
      </c>
      <c r="I61">
        <v>64161.19</v>
      </c>
      <c r="J61" s="1">
        <f>L61</f>
        <v>7.1109926813468435E-2</v>
      </c>
      <c r="K61">
        <v>932.56399999999996</v>
      </c>
      <c r="L61">
        <f t="shared" si="1"/>
        <v>7.1109926813468435E-2</v>
      </c>
    </row>
    <row r="62" spans="1:12" s="2" customFormat="1" x14ac:dyDescent="0.2">
      <c r="A62" s="2">
        <v>180</v>
      </c>
      <c r="B62" s="2" t="s">
        <v>23</v>
      </c>
      <c r="C62" s="2">
        <v>2018</v>
      </c>
      <c r="D62" s="2">
        <v>692</v>
      </c>
      <c r="E62" s="2">
        <v>751</v>
      </c>
      <c r="F62" s="2">
        <v>999</v>
      </c>
      <c r="G62" s="2">
        <v>1453</v>
      </c>
      <c r="H62" s="2">
        <v>1760</v>
      </c>
      <c r="I62" s="2">
        <v>159358</v>
      </c>
      <c r="J62" s="2">
        <v>0.02</v>
      </c>
      <c r="K62" s="2">
        <v>1131</v>
      </c>
    </row>
    <row r="63" spans="1:12" x14ac:dyDescent="0.2">
      <c r="A63">
        <v>124</v>
      </c>
      <c r="B63" t="s">
        <v>23</v>
      </c>
      <c r="C63">
        <v>2019</v>
      </c>
      <c r="D63">
        <v>728</v>
      </c>
      <c r="E63">
        <v>795</v>
      </c>
      <c r="F63">
        <v>1051</v>
      </c>
      <c r="G63">
        <v>1520</v>
      </c>
      <c r="H63">
        <v>1846</v>
      </c>
      <c r="I63">
        <v>159358</v>
      </c>
      <c r="J63">
        <v>0.05</v>
      </c>
      <c r="K63">
        <v>1188</v>
      </c>
      <c r="L63">
        <f t="shared" si="1"/>
        <v>5.0397877984084884E-2</v>
      </c>
    </row>
    <row r="64" spans="1:12" x14ac:dyDescent="0.2">
      <c r="A64">
        <v>68</v>
      </c>
      <c r="B64" t="s">
        <v>23</v>
      </c>
      <c r="C64">
        <v>2020</v>
      </c>
      <c r="D64">
        <v>952</v>
      </c>
      <c r="E64">
        <v>1043</v>
      </c>
      <c r="F64">
        <v>1374</v>
      </c>
      <c r="G64">
        <v>1982</v>
      </c>
      <c r="H64">
        <v>2412</v>
      </c>
      <c r="I64">
        <v>159358</v>
      </c>
      <c r="J64">
        <v>0.31</v>
      </c>
      <c r="K64">
        <v>1552.6</v>
      </c>
      <c r="L64">
        <f t="shared" si="1"/>
        <v>0.30690235690235684</v>
      </c>
    </row>
    <row r="65" spans="1:12" x14ac:dyDescent="0.2">
      <c r="A65">
        <v>12</v>
      </c>
      <c r="B65" t="s">
        <v>23</v>
      </c>
      <c r="C65">
        <v>2021</v>
      </c>
      <c r="D65">
        <v>975</v>
      </c>
      <c r="E65">
        <v>1068</v>
      </c>
      <c r="F65">
        <v>1408</v>
      </c>
      <c r="G65">
        <v>2015</v>
      </c>
      <c r="H65">
        <v>2438</v>
      </c>
      <c r="I65">
        <v>159358</v>
      </c>
      <c r="J65" s="1">
        <f>L65</f>
        <v>1.8163081283009176E-2</v>
      </c>
      <c r="K65">
        <v>1580.8</v>
      </c>
      <c r="L65">
        <f t="shared" si="1"/>
        <v>1.8163081283009176E-2</v>
      </c>
    </row>
    <row r="66" spans="1:12" x14ac:dyDescent="0.2">
      <c r="A66">
        <v>236</v>
      </c>
      <c r="B66" t="s">
        <v>23</v>
      </c>
      <c r="C66">
        <v>2022</v>
      </c>
      <c r="D66">
        <v>1016</v>
      </c>
      <c r="E66">
        <v>1115</v>
      </c>
      <c r="F66">
        <v>1467</v>
      </c>
      <c r="G66">
        <v>2084</v>
      </c>
      <c r="H66">
        <v>2511</v>
      </c>
      <c r="I66">
        <v>159358</v>
      </c>
      <c r="J66" s="1">
        <f>L66</f>
        <v>3.6563765182186209E-2</v>
      </c>
      <c r="K66">
        <v>1638.6</v>
      </c>
      <c r="L66">
        <f t="shared" si="1"/>
        <v>3.6563765182186209E-2</v>
      </c>
    </row>
    <row r="67" spans="1:12" s="2" customFormat="1" x14ac:dyDescent="0.2">
      <c r="A67" s="2">
        <v>181</v>
      </c>
      <c r="B67" s="2" t="s">
        <v>24</v>
      </c>
      <c r="C67" s="2">
        <v>2018</v>
      </c>
      <c r="D67" s="2">
        <v>1088.5999999999999</v>
      </c>
      <c r="E67" s="2">
        <v>1268.5999999999999</v>
      </c>
      <c r="F67" s="2">
        <v>1621.2</v>
      </c>
      <c r="G67" s="2">
        <v>2269.1999999999998</v>
      </c>
      <c r="H67" s="2">
        <v>2717</v>
      </c>
      <c r="I67" s="2">
        <v>272060.2</v>
      </c>
      <c r="J67" s="2">
        <v>0.3</v>
      </c>
      <c r="K67" s="2">
        <v>1792.92</v>
      </c>
    </row>
    <row r="68" spans="1:12" x14ac:dyDescent="0.2">
      <c r="A68">
        <v>125</v>
      </c>
      <c r="B68" t="s">
        <v>24</v>
      </c>
      <c r="C68">
        <v>2019</v>
      </c>
      <c r="D68">
        <v>1122.2</v>
      </c>
      <c r="E68">
        <v>1292.2</v>
      </c>
      <c r="F68">
        <v>1658.8</v>
      </c>
      <c r="G68">
        <v>2310.1999999999998</v>
      </c>
      <c r="H68">
        <v>2771.6</v>
      </c>
      <c r="I68">
        <v>272060.2</v>
      </c>
      <c r="J68">
        <v>0.02</v>
      </c>
      <c r="K68">
        <v>1831</v>
      </c>
      <c r="L68">
        <f t="shared" si="1"/>
        <v>2.1239095999821739E-2</v>
      </c>
    </row>
    <row r="69" spans="1:12" x14ac:dyDescent="0.2">
      <c r="A69">
        <v>69</v>
      </c>
      <c r="B69" t="s">
        <v>24</v>
      </c>
      <c r="C69">
        <v>2020</v>
      </c>
      <c r="D69">
        <v>1236</v>
      </c>
      <c r="E69">
        <v>1406.4</v>
      </c>
      <c r="F69">
        <v>1797.6</v>
      </c>
      <c r="G69">
        <v>2500.6</v>
      </c>
      <c r="H69">
        <v>2926.4</v>
      </c>
      <c r="I69">
        <v>284332</v>
      </c>
      <c r="J69">
        <v>0.09</v>
      </c>
      <c r="K69">
        <v>1973.4</v>
      </c>
      <c r="L69">
        <f t="shared" si="1"/>
        <v>7.7771709448388904E-2</v>
      </c>
    </row>
    <row r="70" spans="1:12" x14ac:dyDescent="0.2">
      <c r="A70">
        <v>13</v>
      </c>
      <c r="B70" t="s">
        <v>24</v>
      </c>
      <c r="C70">
        <v>2021</v>
      </c>
      <c r="D70">
        <v>1259.8</v>
      </c>
      <c r="E70">
        <v>1405.4</v>
      </c>
      <c r="F70">
        <v>1797.6</v>
      </c>
      <c r="G70">
        <v>2479.8000000000002</v>
      </c>
      <c r="H70">
        <v>2860.6</v>
      </c>
      <c r="I70">
        <v>284332</v>
      </c>
      <c r="J70" s="1">
        <f>L70</f>
        <v>-6.4659977703457067E-3</v>
      </c>
      <c r="K70">
        <v>1960.64</v>
      </c>
      <c r="L70">
        <f t="shared" si="1"/>
        <v>-6.4659977703457067E-3</v>
      </c>
    </row>
    <row r="71" spans="1:12" x14ac:dyDescent="0.2">
      <c r="A71">
        <v>237</v>
      </c>
      <c r="B71" t="s">
        <v>24</v>
      </c>
      <c r="C71">
        <v>2022</v>
      </c>
      <c r="D71">
        <v>1310.4000000000001</v>
      </c>
      <c r="E71">
        <v>1466</v>
      </c>
      <c r="F71">
        <v>1887.8</v>
      </c>
      <c r="G71">
        <v>2569.1999999999998</v>
      </c>
      <c r="H71">
        <v>2944.8</v>
      </c>
      <c r="I71">
        <v>284332</v>
      </c>
      <c r="J71" s="1">
        <f>L71</f>
        <v>3.8252815407214091E-2</v>
      </c>
      <c r="K71">
        <v>2035.64</v>
      </c>
      <c r="L71">
        <f t="shared" si="1"/>
        <v>3.8252815407214091E-2</v>
      </c>
    </row>
    <row r="72" spans="1:12" s="2" customFormat="1" x14ac:dyDescent="0.2">
      <c r="A72" s="2">
        <v>182</v>
      </c>
      <c r="B72" s="2" t="s">
        <v>25</v>
      </c>
      <c r="C72" s="2">
        <v>2018</v>
      </c>
      <c r="D72" s="2">
        <v>487.68</v>
      </c>
      <c r="E72" s="2">
        <v>542.02</v>
      </c>
      <c r="F72" s="2">
        <v>697.64</v>
      </c>
      <c r="G72" s="2">
        <v>927.16</v>
      </c>
      <c r="H72" s="2">
        <v>1026.1400000000001</v>
      </c>
      <c r="I72" s="2">
        <v>30771.26</v>
      </c>
      <c r="J72" s="2">
        <v>0.03</v>
      </c>
      <c r="K72" s="2">
        <v>736.12800000000004</v>
      </c>
    </row>
    <row r="73" spans="1:12" x14ac:dyDescent="0.2">
      <c r="A73">
        <v>126</v>
      </c>
      <c r="B73" t="s">
        <v>25</v>
      </c>
      <c r="C73">
        <v>2019</v>
      </c>
      <c r="D73">
        <v>503.86</v>
      </c>
      <c r="E73">
        <v>556.05999999999995</v>
      </c>
      <c r="F73">
        <v>714.79</v>
      </c>
      <c r="G73">
        <v>951.4</v>
      </c>
      <c r="H73">
        <v>1053.4100000000001</v>
      </c>
      <c r="I73">
        <v>30771.26</v>
      </c>
      <c r="J73">
        <v>0.02</v>
      </c>
      <c r="K73">
        <v>755.904</v>
      </c>
      <c r="L73">
        <f t="shared" si="1"/>
        <v>2.6864893062076251E-2</v>
      </c>
    </row>
    <row r="74" spans="1:12" x14ac:dyDescent="0.2">
      <c r="A74">
        <v>70</v>
      </c>
      <c r="B74" t="s">
        <v>25</v>
      </c>
      <c r="C74">
        <v>2020</v>
      </c>
      <c r="D74">
        <v>515.61</v>
      </c>
      <c r="E74">
        <v>569.67999999999995</v>
      </c>
      <c r="F74">
        <v>729.35</v>
      </c>
      <c r="G74">
        <v>969.93</v>
      </c>
      <c r="H74">
        <v>1076.99</v>
      </c>
      <c r="I74">
        <v>31495.81</v>
      </c>
      <c r="J74">
        <v>0.02</v>
      </c>
      <c r="K74">
        <v>772.31200000000001</v>
      </c>
      <c r="L74">
        <f t="shared" ref="L74:L137" si="6">((AVERAGE(D74:H74))-(AVERAGE(D73:H73)))/(AVERAGE(D73:H73))</f>
        <v>2.1706460079586543E-2</v>
      </c>
    </row>
    <row r="75" spans="1:12" x14ac:dyDescent="0.2">
      <c r="A75">
        <v>14</v>
      </c>
      <c r="B75" t="s">
        <v>25</v>
      </c>
      <c r="C75">
        <v>2021</v>
      </c>
      <c r="D75">
        <v>540.66999999999996</v>
      </c>
      <c r="E75">
        <v>593.13</v>
      </c>
      <c r="F75">
        <v>759.59</v>
      </c>
      <c r="G75">
        <v>1004.93</v>
      </c>
      <c r="H75">
        <v>1115.3800000000001</v>
      </c>
      <c r="I75">
        <v>31495.81</v>
      </c>
      <c r="J75" s="1">
        <f>L75</f>
        <v>3.9398585027812745E-2</v>
      </c>
      <c r="K75">
        <v>802.74</v>
      </c>
      <c r="L75">
        <f t="shared" si="6"/>
        <v>3.9398585027812745E-2</v>
      </c>
    </row>
    <row r="76" spans="1:12" x14ac:dyDescent="0.2">
      <c r="A76">
        <v>238</v>
      </c>
      <c r="B76" t="s">
        <v>25</v>
      </c>
      <c r="C76">
        <v>2022</v>
      </c>
      <c r="D76">
        <v>563.44000000000005</v>
      </c>
      <c r="E76">
        <v>618.4</v>
      </c>
      <c r="F76">
        <v>787.87</v>
      </c>
      <c r="G76">
        <v>1036.74</v>
      </c>
      <c r="H76">
        <v>1154.67</v>
      </c>
      <c r="I76">
        <v>31495.81</v>
      </c>
      <c r="J76" s="1">
        <f>L76</f>
        <v>3.6729202481500765E-2</v>
      </c>
      <c r="K76">
        <v>832.22400000000005</v>
      </c>
      <c r="L76">
        <f t="shared" si="6"/>
        <v>3.6729202481500765E-2</v>
      </c>
    </row>
    <row r="77" spans="1:12" s="2" customFormat="1" x14ac:dyDescent="0.2">
      <c r="A77" s="2">
        <v>183</v>
      </c>
      <c r="B77" s="2" t="s">
        <v>26</v>
      </c>
      <c r="C77" s="2">
        <v>2018</v>
      </c>
      <c r="D77" s="2">
        <v>533.25</v>
      </c>
      <c r="E77" s="2">
        <v>579.64</v>
      </c>
      <c r="F77" s="2">
        <v>747.55</v>
      </c>
      <c r="G77" s="2">
        <v>1031.5</v>
      </c>
      <c r="H77" s="2">
        <v>1242.3399999999999</v>
      </c>
      <c r="I77" s="2">
        <v>35626.86</v>
      </c>
      <c r="J77" s="2">
        <v>0.03</v>
      </c>
      <c r="K77" s="2">
        <v>826.85599999999999</v>
      </c>
    </row>
    <row r="78" spans="1:12" x14ac:dyDescent="0.2">
      <c r="A78">
        <v>127</v>
      </c>
      <c r="B78" t="s">
        <v>26</v>
      </c>
      <c r="C78">
        <v>2019</v>
      </c>
      <c r="D78">
        <v>526</v>
      </c>
      <c r="E78">
        <v>581.91</v>
      </c>
      <c r="F78">
        <v>751.18</v>
      </c>
      <c r="G78">
        <v>1035.2</v>
      </c>
      <c r="H78">
        <v>1223.0899999999999</v>
      </c>
      <c r="I78">
        <v>35626.86</v>
      </c>
      <c r="J78">
        <v>0.01</v>
      </c>
      <c r="K78">
        <v>823.476</v>
      </c>
      <c r="L78">
        <f t="shared" si="6"/>
        <v>-4.0877734454366852E-3</v>
      </c>
    </row>
    <row r="79" spans="1:12" x14ac:dyDescent="0.2">
      <c r="A79">
        <v>71</v>
      </c>
      <c r="B79" t="s">
        <v>26</v>
      </c>
      <c r="C79">
        <v>2020</v>
      </c>
      <c r="D79">
        <v>564.14</v>
      </c>
      <c r="E79">
        <v>616.54999999999995</v>
      </c>
      <c r="F79">
        <v>793.18</v>
      </c>
      <c r="G79">
        <v>1096.4100000000001</v>
      </c>
      <c r="H79">
        <v>1286.07</v>
      </c>
      <c r="I79">
        <v>37667.730000000003</v>
      </c>
      <c r="J79">
        <v>0.06</v>
      </c>
      <c r="K79">
        <v>871.27</v>
      </c>
      <c r="L79">
        <f t="shared" si="6"/>
        <v>5.8039335694057712E-2</v>
      </c>
    </row>
    <row r="80" spans="1:12" x14ac:dyDescent="0.2">
      <c r="A80">
        <v>15</v>
      </c>
      <c r="B80" t="s">
        <v>26</v>
      </c>
      <c r="C80">
        <v>2021</v>
      </c>
      <c r="D80">
        <v>592.59</v>
      </c>
      <c r="E80">
        <v>640.57000000000005</v>
      </c>
      <c r="F80">
        <v>821.43</v>
      </c>
      <c r="G80">
        <v>1146.0899999999999</v>
      </c>
      <c r="H80">
        <v>1341.27</v>
      </c>
      <c r="I80">
        <v>37667.730000000003</v>
      </c>
      <c r="J80" s="1">
        <f>L80</f>
        <v>4.2604473928862741E-2</v>
      </c>
      <c r="K80">
        <v>908.39</v>
      </c>
      <c r="L80">
        <f t="shared" si="6"/>
        <v>4.2604473928862741E-2</v>
      </c>
    </row>
    <row r="81" spans="1:12" x14ac:dyDescent="0.2">
      <c r="A81">
        <v>239</v>
      </c>
      <c r="B81" t="s">
        <v>26</v>
      </c>
      <c r="C81">
        <v>2022</v>
      </c>
      <c r="D81">
        <v>637.61</v>
      </c>
      <c r="E81">
        <v>688.45</v>
      </c>
      <c r="F81">
        <v>876.66</v>
      </c>
      <c r="G81">
        <v>1224.25</v>
      </c>
      <c r="H81">
        <v>1444.18</v>
      </c>
      <c r="I81">
        <v>37667.730000000003</v>
      </c>
      <c r="J81" s="1">
        <f>L81</f>
        <v>7.2479881989013312E-2</v>
      </c>
      <c r="K81">
        <v>974.23</v>
      </c>
      <c r="L81">
        <f t="shared" si="6"/>
        <v>7.2479881989013312E-2</v>
      </c>
    </row>
    <row r="82" spans="1:12" s="2" customFormat="1" x14ac:dyDescent="0.2">
      <c r="A82" s="2">
        <v>184</v>
      </c>
      <c r="B82" s="2" t="s">
        <v>27</v>
      </c>
      <c r="C82" s="2">
        <v>2018</v>
      </c>
      <c r="D82" s="2">
        <v>528.36</v>
      </c>
      <c r="E82" s="2">
        <v>603.66</v>
      </c>
      <c r="F82" s="2">
        <v>766.93</v>
      </c>
      <c r="G82" s="2">
        <v>1006.54</v>
      </c>
      <c r="H82" s="2">
        <v>1140.6099999999999</v>
      </c>
      <c r="I82" s="2">
        <v>125790.51</v>
      </c>
      <c r="J82" s="2">
        <v>0.02</v>
      </c>
      <c r="K82" s="2">
        <v>809.22</v>
      </c>
    </row>
    <row r="83" spans="1:12" x14ac:dyDescent="0.2">
      <c r="A83">
        <v>128</v>
      </c>
      <c r="B83" t="s">
        <v>27</v>
      </c>
      <c r="C83">
        <v>2019</v>
      </c>
      <c r="D83">
        <v>551.30999999999995</v>
      </c>
      <c r="E83">
        <v>622.22</v>
      </c>
      <c r="F83">
        <v>787.48</v>
      </c>
      <c r="G83">
        <v>1033.27</v>
      </c>
      <c r="H83">
        <v>1169</v>
      </c>
      <c r="I83">
        <v>125790.51</v>
      </c>
      <c r="J83">
        <v>0.03</v>
      </c>
      <c r="K83">
        <v>832.65599999999995</v>
      </c>
      <c r="L83">
        <f t="shared" si="6"/>
        <v>2.896122191740199E-2</v>
      </c>
    </row>
    <row r="84" spans="1:12" x14ac:dyDescent="0.2">
      <c r="A84">
        <v>72</v>
      </c>
      <c r="B84" t="s">
        <v>27</v>
      </c>
      <c r="C84">
        <v>2020</v>
      </c>
      <c r="D84">
        <v>556.46</v>
      </c>
      <c r="E84">
        <v>624.45000000000005</v>
      </c>
      <c r="F84">
        <v>787.39</v>
      </c>
      <c r="G84">
        <v>1032.55</v>
      </c>
      <c r="H84">
        <v>1162.6600000000001</v>
      </c>
      <c r="I84">
        <v>126024.75</v>
      </c>
      <c r="J84">
        <v>0</v>
      </c>
      <c r="K84">
        <v>832.702</v>
      </c>
      <c r="L84">
        <f t="shared" si="6"/>
        <v>5.5244903057263884E-5</v>
      </c>
    </row>
    <row r="85" spans="1:12" x14ac:dyDescent="0.2">
      <c r="A85">
        <v>16</v>
      </c>
      <c r="B85" t="s">
        <v>27</v>
      </c>
      <c r="C85">
        <v>2021</v>
      </c>
      <c r="D85">
        <v>570.9</v>
      </c>
      <c r="E85">
        <v>638.09</v>
      </c>
      <c r="F85">
        <v>801.46</v>
      </c>
      <c r="G85">
        <v>1050</v>
      </c>
      <c r="H85">
        <v>1181.43</v>
      </c>
      <c r="I85">
        <v>126024.75</v>
      </c>
      <c r="J85" s="1">
        <f>L85</f>
        <v>1.8823060350521528E-2</v>
      </c>
      <c r="K85">
        <v>848.37599999999998</v>
      </c>
      <c r="L85">
        <f t="shared" si="6"/>
        <v>1.8823060350521528E-2</v>
      </c>
    </row>
    <row r="86" spans="1:12" x14ac:dyDescent="0.2">
      <c r="A86">
        <v>240</v>
      </c>
      <c r="B86" t="s">
        <v>27</v>
      </c>
      <c r="C86">
        <v>2022</v>
      </c>
      <c r="D86">
        <v>593.53</v>
      </c>
      <c r="E86">
        <v>660.5</v>
      </c>
      <c r="F86">
        <v>828.87</v>
      </c>
      <c r="G86">
        <v>1085.04</v>
      </c>
      <c r="H86">
        <v>1213.25</v>
      </c>
      <c r="I86">
        <v>126024.75</v>
      </c>
      <c r="J86" s="1">
        <f>L86</f>
        <v>3.2841570247154658E-2</v>
      </c>
      <c r="K86">
        <v>876.23800000000006</v>
      </c>
      <c r="L86">
        <f t="shared" si="6"/>
        <v>3.2841570247154658E-2</v>
      </c>
    </row>
    <row r="87" spans="1:12" s="2" customFormat="1" x14ac:dyDescent="0.2">
      <c r="A87" s="2">
        <v>185</v>
      </c>
      <c r="B87" s="2" t="s">
        <v>28</v>
      </c>
      <c r="C87" s="2">
        <v>2018</v>
      </c>
      <c r="D87" s="2">
        <v>528.85</v>
      </c>
      <c r="E87" s="2">
        <v>599.38</v>
      </c>
      <c r="F87" s="2">
        <v>759.79</v>
      </c>
      <c r="G87" s="2">
        <v>1001.61</v>
      </c>
      <c r="H87" s="2">
        <v>1127.1500000000001</v>
      </c>
      <c r="I87" s="2">
        <v>70476.11</v>
      </c>
      <c r="J87" s="2">
        <v>0.04</v>
      </c>
      <c r="K87" s="2">
        <v>803.35599999999999</v>
      </c>
    </row>
    <row r="88" spans="1:12" x14ac:dyDescent="0.2">
      <c r="A88">
        <v>129</v>
      </c>
      <c r="B88" t="s">
        <v>28</v>
      </c>
      <c r="C88">
        <v>2019</v>
      </c>
      <c r="D88">
        <v>533.49</v>
      </c>
      <c r="E88">
        <v>604.17999999999995</v>
      </c>
      <c r="F88">
        <v>763.93</v>
      </c>
      <c r="G88">
        <v>1006.38</v>
      </c>
      <c r="H88">
        <v>1133.29</v>
      </c>
      <c r="I88">
        <v>70476.11</v>
      </c>
      <c r="J88">
        <v>0</v>
      </c>
      <c r="K88">
        <v>808.25400000000002</v>
      </c>
      <c r="L88">
        <f t="shared" si="6"/>
        <v>6.0969234063105579E-3</v>
      </c>
    </row>
    <row r="89" spans="1:12" x14ac:dyDescent="0.2">
      <c r="A89">
        <v>73</v>
      </c>
      <c r="B89" t="s">
        <v>28</v>
      </c>
      <c r="C89">
        <v>2020</v>
      </c>
      <c r="D89">
        <v>548.98</v>
      </c>
      <c r="E89">
        <v>620.01</v>
      </c>
      <c r="F89">
        <v>782.26</v>
      </c>
      <c r="G89">
        <v>1027.0899999999999</v>
      </c>
      <c r="H89">
        <v>1165.18</v>
      </c>
      <c r="I89">
        <v>71895.92</v>
      </c>
      <c r="J89">
        <v>0.03</v>
      </c>
      <c r="K89">
        <v>828.70399999999995</v>
      </c>
      <c r="L89">
        <f t="shared" si="6"/>
        <v>2.5301452266243092E-2</v>
      </c>
    </row>
    <row r="90" spans="1:12" x14ac:dyDescent="0.2">
      <c r="A90">
        <v>17</v>
      </c>
      <c r="B90" t="s">
        <v>28</v>
      </c>
      <c r="C90">
        <v>2021</v>
      </c>
      <c r="D90">
        <v>565.4</v>
      </c>
      <c r="E90">
        <v>634.79999999999995</v>
      </c>
      <c r="F90">
        <v>800.66</v>
      </c>
      <c r="G90">
        <v>1047.9100000000001</v>
      </c>
      <c r="H90">
        <v>1193.68</v>
      </c>
      <c r="I90">
        <v>71895.92</v>
      </c>
      <c r="J90" s="1">
        <f>L90</f>
        <v>2.3875835038807514E-2</v>
      </c>
      <c r="K90">
        <v>848.49</v>
      </c>
      <c r="L90">
        <f t="shared" si="6"/>
        <v>2.3875835038807514E-2</v>
      </c>
    </row>
    <row r="91" spans="1:12" x14ac:dyDescent="0.2">
      <c r="A91">
        <v>241</v>
      </c>
      <c r="B91" t="s">
        <v>28</v>
      </c>
      <c r="C91">
        <v>2022</v>
      </c>
      <c r="D91">
        <v>579.66999999999996</v>
      </c>
      <c r="E91">
        <v>647.13</v>
      </c>
      <c r="F91">
        <v>814.3</v>
      </c>
      <c r="G91">
        <v>1059.1500000000001</v>
      </c>
      <c r="H91">
        <v>1210.8</v>
      </c>
      <c r="I91">
        <v>71895.92</v>
      </c>
      <c r="J91" s="1">
        <f>L91</f>
        <v>1.6169901825596092E-2</v>
      </c>
      <c r="K91">
        <v>862.21</v>
      </c>
      <c r="L91">
        <f t="shared" si="6"/>
        <v>1.6169901825596092E-2</v>
      </c>
    </row>
    <row r="92" spans="1:12" s="2" customFormat="1" x14ac:dyDescent="0.2">
      <c r="A92" s="2">
        <v>186</v>
      </c>
      <c r="B92" s="2" t="s">
        <v>29</v>
      </c>
      <c r="C92" s="2">
        <v>2018</v>
      </c>
      <c r="D92" s="2">
        <v>522.48</v>
      </c>
      <c r="E92" s="2">
        <v>574.07000000000005</v>
      </c>
      <c r="F92" s="2">
        <v>736.53</v>
      </c>
      <c r="G92" s="2">
        <v>974.95</v>
      </c>
      <c r="H92" s="2">
        <v>1106.79</v>
      </c>
      <c r="I92" s="2">
        <v>27172.55</v>
      </c>
      <c r="J92" s="2">
        <v>0.02</v>
      </c>
      <c r="K92" s="2">
        <v>782.96400000000006</v>
      </c>
    </row>
    <row r="93" spans="1:12" x14ac:dyDescent="0.2">
      <c r="A93">
        <v>130</v>
      </c>
      <c r="B93" t="s">
        <v>29</v>
      </c>
      <c r="C93">
        <v>2019</v>
      </c>
      <c r="D93">
        <v>512.82000000000005</v>
      </c>
      <c r="E93">
        <v>560.44000000000005</v>
      </c>
      <c r="F93">
        <v>717.98</v>
      </c>
      <c r="G93">
        <v>949.57</v>
      </c>
      <c r="H93">
        <v>1076.49</v>
      </c>
      <c r="I93">
        <v>27172.55</v>
      </c>
      <c r="J93">
        <v>-0.03</v>
      </c>
      <c r="K93">
        <v>763.46</v>
      </c>
      <c r="L93">
        <f t="shared" si="6"/>
        <v>-2.4910468425112801E-2</v>
      </c>
    </row>
    <row r="94" spans="1:12" x14ac:dyDescent="0.2">
      <c r="A94">
        <v>74</v>
      </c>
      <c r="B94" t="s">
        <v>29</v>
      </c>
      <c r="C94">
        <v>2020</v>
      </c>
      <c r="D94">
        <v>544.69000000000005</v>
      </c>
      <c r="E94">
        <v>589.22</v>
      </c>
      <c r="F94">
        <v>751.57</v>
      </c>
      <c r="G94">
        <v>992.03</v>
      </c>
      <c r="H94">
        <v>1125.45</v>
      </c>
      <c r="I94">
        <v>27655.05</v>
      </c>
      <c r="J94">
        <v>0.05</v>
      </c>
      <c r="K94">
        <v>800.59199999999998</v>
      </c>
      <c r="L94">
        <f t="shared" si="6"/>
        <v>4.8636470803971321E-2</v>
      </c>
    </row>
    <row r="95" spans="1:12" x14ac:dyDescent="0.2">
      <c r="A95">
        <v>18</v>
      </c>
      <c r="B95" t="s">
        <v>29</v>
      </c>
      <c r="C95">
        <v>2021</v>
      </c>
      <c r="D95">
        <v>563.03</v>
      </c>
      <c r="E95">
        <v>592.66</v>
      </c>
      <c r="F95">
        <v>756.75</v>
      </c>
      <c r="G95">
        <v>994.91</v>
      </c>
      <c r="H95">
        <v>1129.71</v>
      </c>
      <c r="I95">
        <v>27655.05</v>
      </c>
      <c r="J95" s="1">
        <f>L95</f>
        <v>8.5186961648380834E-3</v>
      </c>
      <c r="K95">
        <v>807.41200000000003</v>
      </c>
      <c r="L95">
        <f t="shared" si="6"/>
        <v>8.5186961648380834E-3</v>
      </c>
    </row>
    <row r="96" spans="1:12" x14ac:dyDescent="0.2">
      <c r="A96">
        <v>242</v>
      </c>
      <c r="B96" t="s">
        <v>29</v>
      </c>
      <c r="C96">
        <v>2022</v>
      </c>
      <c r="D96">
        <v>580.21</v>
      </c>
      <c r="E96">
        <v>611.70000000000005</v>
      </c>
      <c r="F96">
        <v>778.54</v>
      </c>
      <c r="G96">
        <v>1017.95</v>
      </c>
      <c r="H96">
        <v>1153.27</v>
      </c>
      <c r="I96">
        <v>27655.05</v>
      </c>
      <c r="J96" s="1">
        <f>L96</f>
        <v>2.5912421415584638E-2</v>
      </c>
      <c r="K96">
        <v>828.33399999999995</v>
      </c>
      <c r="L96">
        <f t="shared" si="6"/>
        <v>2.5912421415584638E-2</v>
      </c>
    </row>
    <row r="97" spans="1:12" s="2" customFormat="1" x14ac:dyDescent="0.2">
      <c r="A97" s="2">
        <v>187</v>
      </c>
      <c r="B97" s="2" t="s">
        <v>30</v>
      </c>
      <c r="C97" s="2">
        <v>2018</v>
      </c>
      <c r="D97" s="2">
        <v>484.31</v>
      </c>
      <c r="E97" s="2">
        <v>539.38</v>
      </c>
      <c r="F97" s="2">
        <v>680.42</v>
      </c>
      <c r="G97" s="2">
        <v>909.77</v>
      </c>
      <c r="H97" s="2">
        <v>1033.3699999999999</v>
      </c>
      <c r="I97" s="2">
        <v>36161.39</v>
      </c>
      <c r="J97" s="2">
        <v>0.01</v>
      </c>
      <c r="K97" s="2">
        <v>729.45</v>
      </c>
    </row>
    <row r="98" spans="1:12" x14ac:dyDescent="0.2">
      <c r="A98">
        <v>131</v>
      </c>
      <c r="B98" t="s">
        <v>30</v>
      </c>
      <c r="C98">
        <v>2019</v>
      </c>
      <c r="D98">
        <v>491.96</v>
      </c>
      <c r="E98">
        <v>545.70000000000005</v>
      </c>
      <c r="F98">
        <v>688.52</v>
      </c>
      <c r="G98">
        <v>918.03</v>
      </c>
      <c r="H98">
        <v>1042.32</v>
      </c>
      <c r="I98">
        <v>36161.39</v>
      </c>
      <c r="J98">
        <v>0.01</v>
      </c>
      <c r="K98">
        <v>737.30600000000004</v>
      </c>
      <c r="L98">
        <f t="shared" si="6"/>
        <v>1.0769758036876935E-2</v>
      </c>
    </row>
    <row r="99" spans="1:12" x14ac:dyDescent="0.2">
      <c r="A99">
        <v>75</v>
      </c>
      <c r="B99" t="s">
        <v>30</v>
      </c>
      <c r="C99">
        <v>2020</v>
      </c>
      <c r="D99">
        <v>498.11</v>
      </c>
      <c r="E99">
        <v>555.71</v>
      </c>
      <c r="F99">
        <v>699.27</v>
      </c>
      <c r="G99">
        <v>928.77</v>
      </c>
      <c r="H99">
        <v>1051.06</v>
      </c>
      <c r="I99">
        <v>36869.58</v>
      </c>
      <c r="J99">
        <v>0.02</v>
      </c>
      <c r="K99">
        <v>746.58399999999995</v>
      </c>
      <c r="L99">
        <f t="shared" si="6"/>
        <v>1.2583649122616844E-2</v>
      </c>
    </row>
    <row r="100" spans="1:12" x14ac:dyDescent="0.2">
      <c r="A100">
        <v>19</v>
      </c>
      <c r="B100" t="s">
        <v>30</v>
      </c>
      <c r="C100">
        <v>2021</v>
      </c>
      <c r="D100">
        <v>527.16</v>
      </c>
      <c r="E100">
        <v>582.07000000000005</v>
      </c>
      <c r="F100">
        <v>733.27</v>
      </c>
      <c r="G100">
        <v>972.33</v>
      </c>
      <c r="H100">
        <v>1099.49</v>
      </c>
      <c r="I100">
        <v>36869.58</v>
      </c>
      <c r="J100" s="1">
        <f>L100</f>
        <v>4.8594665838003301E-2</v>
      </c>
      <c r="K100">
        <v>782.86400000000003</v>
      </c>
      <c r="L100">
        <f t="shared" si="6"/>
        <v>4.8594665838003301E-2</v>
      </c>
    </row>
    <row r="101" spans="1:12" x14ac:dyDescent="0.2">
      <c r="A101">
        <v>243</v>
      </c>
      <c r="B101" t="s">
        <v>30</v>
      </c>
      <c r="C101">
        <v>2022</v>
      </c>
      <c r="D101">
        <v>535.58000000000004</v>
      </c>
      <c r="E101">
        <v>593</v>
      </c>
      <c r="F101">
        <v>746.64</v>
      </c>
      <c r="G101">
        <v>984.97</v>
      </c>
      <c r="H101">
        <v>1113.42</v>
      </c>
      <c r="I101">
        <v>36869.58</v>
      </c>
      <c r="J101" s="1">
        <f>L101</f>
        <v>1.5146947617977148E-2</v>
      </c>
      <c r="K101">
        <v>794.72199999999998</v>
      </c>
      <c r="L101">
        <f t="shared" si="6"/>
        <v>1.5146947617977148E-2</v>
      </c>
    </row>
    <row r="102" spans="1:12" s="2" customFormat="1" x14ac:dyDescent="0.2">
      <c r="A102" s="2">
        <v>188</v>
      </c>
      <c r="B102" s="2" t="s">
        <v>31</v>
      </c>
      <c r="C102" s="2">
        <v>2018</v>
      </c>
      <c r="D102" s="2">
        <v>579.27</v>
      </c>
      <c r="E102" s="2">
        <v>640.30999999999995</v>
      </c>
      <c r="F102" s="2">
        <v>783.17</v>
      </c>
      <c r="G102" s="2">
        <v>1028.52</v>
      </c>
      <c r="H102" s="2">
        <v>1191.17</v>
      </c>
      <c r="I102" s="2">
        <v>70833.94</v>
      </c>
      <c r="J102" s="2">
        <v>7.0000000000000007E-2</v>
      </c>
      <c r="K102" s="2">
        <v>844.48800000000006</v>
      </c>
    </row>
    <row r="103" spans="1:12" x14ac:dyDescent="0.2">
      <c r="A103">
        <v>132</v>
      </c>
      <c r="B103" t="s">
        <v>31</v>
      </c>
      <c r="C103">
        <v>2019</v>
      </c>
      <c r="D103">
        <v>582.62</v>
      </c>
      <c r="E103">
        <v>642.28</v>
      </c>
      <c r="F103">
        <v>780.09</v>
      </c>
      <c r="G103">
        <v>1024.73</v>
      </c>
      <c r="H103">
        <v>1184.19</v>
      </c>
      <c r="I103">
        <v>70833.94</v>
      </c>
      <c r="J103">
        <v>-0.01</v>
      </c>
      <c r="K103">
        <v>842.78200000000004</v>
      </c>
      <c r="L103">
        <f t="shared" si="6"/>
        <v>-2.0201589602222066E-3</v>
      </c>
    </row>
    <row r="104" spans="1:12" x14ac:dyDescent="0.2">
      <c r="A104">
        <v>76</v>
      </c>
      <c r="B104" t="s">
        <v>31</v>
      </c>
      <c r="C104">
        <v>2020</v>
      </c>
      <c r="D104">
        <v>617.30999999999995</v>
      </c>
      <c r="E104">
        <v>672.39</v>
      </c>
      <c r="F104">
        <v>819.53</v>
      </c>
      <c r="G104">
        <v>1073.17</v>
      </c>
      <c r="H104">
        <v>1227.75</v>
      </c>
      <c r="I104">
        <v>72866.559999999998</v>
      </c>
      <c r="J104">
        <v>0.06</v>
      </c>
      <c r="K104">
        <v>882.03</v>
      </c>
      <c r="L104">
        <f t="shared" si="6"/>
        <v>4.6569575524868886E-2</v>
      </c>
    </row>
    <row r="105" spans="1:12" x14ac:dyDescent="0.2">
      <c r="A105">
        <v>20</v>
      </c>
      <c r="B105" t="s">
        <v>31</v>
      </c>
      <c r="C105">
        <v>2021</v>
      </c>
      <c r="D105">
        <v>633.95000000000005</v>
      </c>
      <c r="E105">
        <v>693.34</v>
      </c>
      <c r="F105">
        <v>844.09</v>
      </c>
      <c r="G105">
        <v>1103.67</v>
      </c>
      <c r="H105">
        <v>1260.27</v>
      </c>
      <c r="I105">
        <v>72866.559999999998</v>
      </c>
      <c r="J105" s="1">
        <f>L105</f>
        <v>2.8382254571839953E-2</v>
      </c>
      <c r="K105">
        <v>907.06399999999996</v>
      </c>
      <c r="L105">
        <f t="shared" si="6"/>
        <v>2.8382254571839953E-2</v>
      </c>
    </row>
    <row r="106" spans="1:12" x14ac:dyDescent="0.2">
      <c r="A106">
        <v>244</v>
      </c>
      <c r="B106" t="s">
        <v>31</v>
      </c>
      <c r="C106">
        <v>2022</v>
      </c>
      <c r="D106">
        <v>616.41999999999996</v>
      </c>
      <c r="E106">
        <v>674.03</v>
      </c>
      <c r="F106">
        <v>822.58</v>
      </c>
      <c r="G106">
        <v>1071</v>
      </c>
      <c r="H106">
        <v>1224.02</v>
      </c>
      <c r="I106">
        <v>72866.559999999998</v>
      </c>
      <c r="J106" s="1">
        <f>L106</f>
        <v>-2.8061966961537517E-2</v>
      </c>
      <c r="K106">
        <v>881.61</v>
      </c>
      <c r="L106">
        <f t="shared" si="6"/>
        <v>-2.8061966961537517E-2</v>
      </c>
    </row>
    <row r="107" spans="1:12" s="2" customFormat="1" x14ac:dyDescent="0.2">
      <c r="A107" s="2">
        <v>189</v>
      </c>
      <c r="B107" s="2" t="s">
        <v>32</v>
      </c>
      <c r="C107" s="2">
        <v>2018</v>
      </c>
      <c r="D107" s="2">
        <v>973.23</v>
      </c>
      <c r="E107" s="2">
        <v>1086.42</v>
      </c>
      <c r="F107" s="2">
        <v>1352.08</v>
      </c>
      <c r="G107" s="2">
        <v>1706.95</v>
      </c>
      <c r="H107" s="2">
        <v>1893.04</v>
      </c>
      <c r="I107" s="2">
        <v>18654.21</v>
      </c>
      <c r="J107" s="2">
        <v>0.08</v>
      </c>
      <c r="K107" s="2">
        <v>1402.3440000000001</v>
      </c>
    </row>
    <row r="108" spans="1:12" x14ac:dyDescent="0.2">
      <c r="A108">
        <v>133</v>
      </c>
      <c r="B108" t="s">
        <v>32</v>
      </c>
      <c r="C108">
        <v>2019</v>
      </c>
      <c r="D108">
        <v>1098.3499999999999</v>
      </c>
      <c r="E108">
        <v>1221.23</v>
      </c>
      <c r="F108">
        <v>1518.93</v>
      </c>
      <c r="G108">
        <v>1916.35</v>
      </c>
      <c r="H108">
        <v>2099.6999999999998</v>
      </c>
      <c r="I108">
        <v>18654.21</v>
      </c>
      <c r="J108">
        <v>0.1</v>
      </c>
      <c r="K108">
        <v>1570.912</v>
      </c>
      <c r="L108">
        <f t="shared" si="6"/>
        <v>0.12020445767942814</v>
      </c>
    </row>
    <row r="109" spans="1:12" x14ac:dyDescent="0.2">
      <c r="A109">
        <v>77</v>
      </c>
      <c r="B109" t="s">
        <v>32</v>
      </c>
      <c r="C109">
        <v>2020</v>
      </c>
      <c r="D109">
        <v>1148.95</v>
      </c>
      <c r="E109">
        <v>1273.2</v>
      </c>
      <c r="F109">
        <v>1588.45</v>
      </c>
      <c r="G109">
        <v>1995.07</v>
      </c>
      <c r="H109">
        <v>2195.81</v>
      </c>
      <c r="I109">
        <v>19342.650000000001</v>
      </c>
      <c r="J109">
        <v>0.04</v>
      </c>
      <c r="K109">
        <v>1640.296</v>
      </c>
      <c r="L109">
        <f t="shared" si="6"/>
        <v>4.416797376301141E-2</v>
      </c>
    </row>
    <row r="110" spans="1:12" x14ac:dyDescent="0.2">
      <c r="A110">
        <v>21</v>
      </c>
      <c r="B110" t="s">
        <v>32</v>
      </c>
      <c r="C110">
        <v>2021</v>
      </c>
      <c r="D110">
        <v>1183.78</v>
      </c>
      <c r="E110">
        <v>1314.82</v>
      </c>
      <c r="F110">
        <v>1642.08</v>
      </c>
      <c r="G110">
        <v>2057.79</v>
      </c>
      <c r="H110">
        <v>2276.96</v>
      </c>
      <c r="I110">
        <v>19342.650000000001</v>
      </c>
      <c r="J110" s="1">
        <f>L110</f>
        <v>3.3402507840048501E-2</v>
      </c>
      <c r="K110">
        <v>1695.086</v>
      </c>
      <c r="L110">
        <f t="shared" si="6"/>
        <v>3.3402507840048501E-2</v>
      </c>
    </row>
    <row r="111" spans="1:12" x14ac:dyDescent="0.2">
      <c r="A111">
        <v>245</v>
      </c>
      <c r="B111" t="s">
        <v>32</v>
      </c>
      <c r="C111">
        <v>2022</v>
      </c>
      <c r="D111">
        <v>1192.6099999999999</v>
      </c>
      <c r="E111">
        <v>1324.68</v>
      </c>
      <c r="F111">
        <v>1652.7</v>
      </c>
      <c r="G111">
        <v>2057.86</v>
      </c>
      <c r="H111">
        <v>2303.37</v>
      </c>
      <c r="I111">
        <v>19342.650000000001</v>
      </c>
      <c r="J111" s="1">
        <f>L111</f>
        <v>6.5825568732206675E-3</v>
      </c>
      <c r="K111">
        <v>1706.2439999999999</v>
      </c>
      <c r="L111">
        <f t="shared" si="6"/>
        <v>6.5825568732206675E-3</v>
      </c>
    </row>
    <row r="112" spans="1:12" s="2" customFormat="1" x14ac:dyDescent="0.2">
      <c r="A112" s="2">
        <v>190</v>
      </c>
      <c r="B112" s="2" t="s">
        <v>33</v>
      </c>
      <c r="C112" s="2">
        <v>2018</v>
      </c>
      <c r="D112" s="2">
        <v>925.17</v>
      </c>
      <c r="E112" s="2">
        <v>1044.21</v>
      </c>
      <c r="F112" s="2">
        <v>1272.83</v>
      </c>
      <c r="G112" s="2">
        <v>1663.83</v>
      </c>
      <c r="H112" s="2">
        <v>2005.42</v>
      </c>
      <c r="I112" s="2">
        <v>240564.67</v>
      </c>
      <c r="J112" s="2">
        <v>0.02</v>
      </c>
      <c r="K112" s="2">
        <v>1382.2919999999999</v>
      </c>
    </row>
    <row r="113" spans="1:12" x14ac:dyDescent="0.2">
      <c r="A113">
        <v>134</v>
      </c>
      <c r="B113" t="s">
        <v>33</v>
      </c>
      <c r="C113">
        <v>2019</v>
      </c>
      <c r="D113">
        <v>896.92</v>
      </c>
      <c r="E113">
        <v>1016.88</v>
      </c>
      <c r="F113">
        <v>1237.46</v>
      </c>
      <c r="G113">
        <v>1623.88</v>
      </c>
      <c r="H113">
        <v>1943.58</v>
      </c>
      <c r="I113">
        <v>240564.67</v>
      </c>
      <c r="J113">
        <v>-0.02</v>
      </c>
      <c r="K113">
        <v>1343.7439999999999</v>
      </c>
      <c r="L113">
        <f t="shared" si="6"/>
        <v>-2.7887016636137501E-2</v>
      </c>
    </row>
    <row r="114" spans="1:12" x14ac:dyDescent="0.2">
      <c r="A114">
        <v>78</v>
      </c>
      <c r="B114" t="s">
        <v>33</v>
      </c>
      <c r="C114">
        <v>2020</v>
      </c>
      <c r="D114">
        <v>908.96</v>
      </c>
      <c r="E114">
        <v>1023.42</v>
      </c>
      <c r="F114">
        <v>1242.67</v>
      </c>
      <c r="G114">
        <v>1637.38</v>
      </c>
      <c r="H114">
        <v>1946.5</v>
      </c>
      <c r="I114">
        <v>249836.25</v>
      </c>
      <c r="J114">
        <v>0</v>
      </c>
      <c r="K114">
        <v>1351.7860000000001</v>
      </c>
      <c r="L114">
        <f t="shared" si="6"/>
        <v>5.9847709087444603E-3</v>
      </c>
    </row>
    <row r="115" spans="1:12" x14ac:dyDescent="0.2">
      <c r="A115">
        <v>22</v>
      </c>
      <c r="B115" t="s">
        <v>33</v>
      </c>
      <c r="C115">
        <v>2021</v>
      </c>
      <c r="D115">
        <v>932.21</v>
      </c>
      <c r="E115">
        <v>1035.92</v>
      </c>
      <c r="F115">
        <v>1256.3800000000001</v>
      </c>
      <c r="G115">
        <v>1659.62</v>
      </c>
      <c r="H115">
        <v>1958.04</v>
      </c>
      <c r="I115">
        <v>249836.25</v>
      </c>
      <c r="J115" s="1">
        <f>L115</f>
        <v>1.2315558823659891E-2</v>
      </c>
      <c r="K115">
        <v>1368.434</v>
      </c>
      <c r="L115">
        <f t="shared" si="6"/>
        <v>1.2315558823659891E-2</v>
      </c>
    </row>
    <row r="116" spans="1:12" x14ac:dyDescent="0.2">
      <c r="A116">
        <v>246</v>
      </c>
      <c r="B116" t="s">
        <v>33</v>
      </c>
      <c r="C116">
        <v>2022</v>
      </c>
      <c r="D116">
        <v>974.33</v>
      </c>
      <c r="E116">
        <v>1054.21</v>
      </c>
      <c r="F116">
        <v>1276.17</v>
      </c>
      <c r="G116">
        <v>1679.46</v>
      </c>
      <c r="H116">
        <v>1970</v>
      </c>
      <c r="I116">
        <v>249836.25</v>
      </c>
      <c r="J116" s="1">
        <f>L116</f>
        <v>1.6369075892589697E-2</v>
      </c>
      <c r="K116">
        <v>1390.8340000000001</v>
      </c>
      <c r="L116">
        <f t="shared" si="6"/>
        <v>1.6369075892589697E-2</v>
      </c>
    </row>
    <row r="117" spans="1:12" s="2" customFormat="1" x14ac:dyDescent="0.2">
      <c r="A117" s="2">
        <v>191</v>
      </c>
      <c r="B117" s="2" t="s">
        <v>34</v>
      </c>
      <c r="C117" s="2">
        <v>2018</v>
      </c>
      <c r="D117" s="2">
        <v>633.30999999999995</v>
      </c>
      <c r="E117" s="2">
        <v>675.95</v>
      </c>
      <c r="F117" s="2">
        <v>825.14</v>
      </c>
      <c r="G117" s="2">
        <v>1083.21</v>
      </c>
      <c r="H117" s="2">
        <v>1214.31</v>
      </c>
      <c r="I117" s="2">
        <v>2492.2199999999998</v>
      </c>
      <c r="J117" s="2">
        <v>0.04</v>
      </c>
      <c r="K117" s="2">
        <v>886.38400000000001</v>
      </c>
    </row>
    <row r="118" spans="1:12" x14ac:dyDescent="0.2">
      <c r="A118">
        <v>135</v>
      </c>
      <c r="B118" t="s">
        <v>34</v>
      </c>
      <c r="C118">
        <v>2019</v>
      </c>
      <c r="D118">
        <v>679.97</v>
      </c>
      <c r="E118">
        <v>719.93</v>
      </c>
      <c r="F118">
        <v>887.16</v>
      </c>
      <c r="G118">
        <v>1162.01</v>
      </c>
      <c r="H118">
        <v>1304.4100000000001</v>
      </c>
      <c r="I118">
        <v>2492.2199999999998</v>
      </c>
      <c r="J118">
        <v>0.08</v>
      </c>
      <c r="K118">
        <v>950.69600000000003</v>
      </c>
      <c r="L118">
        <f t="shared" si="6"/>
        <v>7.2555461289914858E-2</v>
      </c>
    </row>
    <row r="119" spans="1:12" x14ac:dyDescent="0.2">
      <c r="A119">
        <v>79</v>
      </c>
      <c r="B119" t="s">
        <v>34</v>
      </c>
      <c r="C119">
        <v>2020</v>
      </c>
      <c r="D119">
        <v>640.04</v>
      </c>
      <c r="E119">
        <v>684.79</v>
      </c>
      <c r="F119">
        <v>849.23</v>
      </c>
      <c r="G119">
        <v>1108.3499999999999</v>
      </c>
      <c r="H119">
        <v>1262.51</v>
      </c>
      <c r="I119">
        <v>2495.5500000000002</v>
      </c>
      <c r="J119">
        <v>-0.05</v>
      </c>
      <c r="K119">
        <v>908.98400000000004</v>
      </c>
      <c r="L119">
        <f t="shared" si="6"/>
        <v>-4.3875224046382735E-2</v>
      </c>
    </row>
    <row r="120" spans="1:12" x14ac:dyDescent="0.2">
      <c r="A120">
        <v>23</v>
      </c>
      <c r="B120" t="s">
        <v>34</v>
      </c>
      <c r="C120">
        <v>2021</v>
      </c>
      <c r="D120">
        <v>665.32</v>
      </c>
      <c r="E120">
        <v>723.77</v>
      </c>
      <c r="F120">
        <v>909.05</v>
      </c>
      <c r="G120">
        <v>1170.8699999999999</v>
      </c>
      <c r="H120">
        <v>1354.85</v>
      </c>
      <c r="I120">
        <v>2495.5500000000002</v>
      </c>
      <c r="J120" s="1">
        <f>L120</f>
        <v>6.1374017584468067E-2</v>
      </c>
      <c r="K120">
        <v>964.77200000000005</v>
      </c>
      <c r="L120">
        <f t="shared" si="6"/>
        <v>6.1374017584468067E-2</v>
      </c>
    </row>
    <row r="121" spans="1:12" x14ac:dyDescent="0.2">
      <c r="A121">
        <v>247</v>
      </c>
      <c r="B121" t="s">
        <v>34</v>
      </c>
      <c r="C121">
        <v>2022</v>
      </c>
      <c r="D121">
        <v>703.89</v>
      </c>
      <c r="E121">
        <v>754.38</v>
      </c>
      <c r="F121">
        <v>959.06</v>
      </c>
      <c r="G121">
        <v>1229.78</v>
      </c>
      <c r="H121">
        <v>1428.54</v>
      </c>
      <c r="I121">
        <v>2500.14</v>
      </c>
      <c r="J121" s="1">
        <f>L121</f>
        <v>5.2196788464009852E-2</v>
      </c>
      <c r="K121">
        <v>1015.13</v>
      </c>
      <c r="L121">
        <f t="shared" si="6"/>
        <v>5.2196788464009852E-2</v>
      </c>
    </row>
    <row r="122" spans="1:12" s="2" customFormat="1" x14ac:dyDescent="0.2">
      <c r="A122" s="2">
        <v>192</v>
      </c>
      <c r="B122" s="2" t="s">
        <v>35</v>
      </c>
      <c r="C122" s="2">
        <v>2018</v>
      </c>
      <c r="D122" s="2">
        <v>533.6</v>
      </c>
      <c r="E122" s="2">
        <v>600.07000000000005</v>
      </c>
      <c r="F122" s="2">
        <v>762.76</v>
      </c>
      <c r="G122" s="2">
        <v>1013.55</v>
      </c>
      <c r="H122" s="2">
        <v>1131.07</v>
      </c>
      <c r="I122" s="2">
        <v>119080</v>
      </c>
      <c r="J122" s="2">
        <v>0.03</v>
      </c>
      <c r="K122" s="2">
        <v>808.21</v>
      </c>
    </row>
    <row r="123" spans="1:12" x14ac:dyDescent="0.2">
      <c r="A123">
        <v>136</v>
      </c>
      <c r="B123" t="s">
        <v>35</v>
      </c>
      <c r="C123">
        <v>2019</v>
      </c>
      <c r="D123">
        <v>542.24</v>
      </c>
      <c r="E123">
        <v>607.53</v>
      </c>
      <c r="F123">
        <v>767.99</v>
      </c>
      <c r="G123">
        <v>1016.82</v>
      </c>
      <c r="H123">
        <v>1129.69</v>
      </c>
      <c r="I123">
        <v>119080</v>
      </c>
      <c r="J123">
        <v>0.01</v>
      </c>
      <c r="K123">
        <v>812.85400000000004</v>
      </c>
      <c r="L123">
        <f t="shared" si="6"/>
        <v>5.7460313532374076E-3</v>
      </c>
    </row>
    <row r="124" spans="1:12" x14ac:dyDescent="0.2">
      <c r="A124">
        <v>80</v>
      </c>
      <c r="B124" t="s">
        <v>35</v>
      </c>
      <c r="C124">
        <v>2020</v>
      </c>
      <c r="D124">
        <v>547.04</v>
      </c>
      <c r="E124">
        <v>614.17999999999995</v>
      </c>
      <c r="F124">
        <v>772.71</v>
      </c>
      <c r="G124">
        <v>1017.24</v>
      </c>
      <c r="H124">
        <v>1127.4000000000001</v>
      </c>
      <c r="I124">
        <v>119585.06</v>
      </c>
      <c r="J124">
        <v>0.01</v>
      </c>
      <c r="K124">
        <v>815.71400000000006</v>
      </c>
      <c r="L124">
        <f t="shared" si="6"/>
        <v>3.5184670309797495E-3</v>
      </c>
    </row>
    <row r="125" spans="1:12" x14ac:dyDescent="0.2">
      <c r="A125">
        <v>24</v>
      </c>
      <c r="B125" t="s">
        <v>35</v>
      </c>
      <c r="C125">
        <v>2021</v>
      </c>
      <c r="D125">
        <v>578.58000000000004</v>
      </c>
      <c r="E125">
        <v>646.96</v>
      </c>
      <c r="F125">
        <v>815.1</v>
      </c>
      <c r="G125">
        <v>1066.6400000000001</v>
      </c>
      <c r="H125">
        <v>1182.18</v>
      </c>
      <c r="I125">
        <v>119585.06</v>
      </c>
      <c r="J125" s="1">
        <f>L125</f>
        <v>5.1706848233572057E-2</v>
      </c>
      <c r="K125">
        <v>857.89200000000005</v>
      </c>
      <c r="L125">
        <f t="shared" si="6"/>
        <v>5.1706848233572057E-2</v>
      </c>
    </row>
    <row r="126" spans="1:12" x14ac:dyDescent="0.2">
      <c r="A126">
        <v>248</v>
      </c>
      <c r="B126" t="s">
        <v>35</v>
      </c>
      <c r="C126">
        <v>2022</v>
      </c>
      <c r="D126">
        <v>596.39</v>
      </c>
      <c r="E126">
        <v>664.36</v>
      </c>
      <c r="F126">
        <v>836.06</v>
      </c>
      <c r="G126">
        <v>1088.8</v>
      </c>
      <c r="H126">
        <v>1211.19</v>
      </c>
      <c r="I126">
        <v>119585.06</v>
      </c>
      <c r="J126" s="1">
        <f>L126</f>
        <v>2.5024128911331316E-2</v>
      </c>
      <c r="K126">
        <v>879.36</v>
      </c>
      <c r="L126">
        <f t="shared" si="6"/>
        <v>2.5024128911331316E-2</v>
      </c>
    </row>
    <row r="127" spans="1:12" s="2" customFormat="1" x14ac:dyDescent="0.2">
      <c r="A127" s="2">
        <v>193</v>
      </c>
      <c r="B127" s="2" t="s">
        <v>36</v>
      </c>
      <c r="C127" s="2">
        <v>2018</v>
      </c>
      <c r="D127" s="2">
        <v>517.87</v>
      </c>
      <c r="E127" s="2">
        <v>612.74</v>
      </c>
      <c r="F127" s="2">
        <v>785.92</v>
      </c>
      <c r="G127" s="2">
        <v>1057.78</v>
      </c>
      <c r="H127" s="2">
        <v>1206.51</v>
      </c>
      <c r="I127" s="2">
        <v>60964.66</v>
      </c>
      <c r="J127" s="2">
        <v>0.02</v>
      </c>
      <c r="K127" s="2">
        <v>836.16399999999999</v>
      </c>
    </row>
    <row r="128" spans="1:12" x14ac:dyDescent="0.2">
      <c r="A128">
        <v>137</v>
      </c>
      <c r="B128" t="s">
        <v>36</v>
      </c>
      <c r="C128">
        <v>2019</v>
      </c>
      <c r="D128">
        <v>538.42999999999995</v>
      </c>
      <c r="E128">
        <v>629.17999999999995</v>
      </c>
      <c r="F128">
        <v>803.3</v>
      </c>
      <c r="G128">
        <v>1088.1400000000001</v>
      </c>
      <c r="H128">
        <v>1234.49</v>
      </c>
      <c r="I128">
        <v>60964.66</v>
      </c>
      <c r="J128">
        <v>0.02</v>
      </c>
      <c r="K128">
        <v>858.70799999999997</v>
      </c>
      <c r="L128">
        <f t="shared" si="6"/>
        <v>2.696121813424145E-2</v>
      </c>
    </row>
    <row r="129" spans="1:12" x14ac:dyDescent="0.2">
      <c r="A129">
        <v>81</v>
      </c>
      <c r="B129" t="s">
        <v>36</v>
      </c>
      <c r="C129">
        <v>2020</v>
      </c>
      <c r="D129">
        <v>561.54999999999995</v>
      </c>
      <c r="E129">
        <v>645.71</v>
      </c>
      <c r="F129">
        <v>823.03</v>
      </c>
      <c r="G129">
        <v>1120.54</v>
      </c>
      <c r="H129">
        <v>1272.45</v>
      </c>
      <c r="I129">
        <v>63111.9</v>
      </c>
      <c r="J129">
        <v>0.02</v>
      </c>
      <c r="K129">
        <v>884.65599999999995</v>
      </c>
      <c r="L129">
        <f t="shared" si="6"/>
        <v>3.0217489530783431E-2</v>
      </c>
    </row>
    <row r="130" spans="1:12" x14ac:dyDescent="0.2">
      <c r="A130">
        <v>25</v>
      </c>
      <c r="B130" t="s">
        <v>36</v>
      </c>
      <c r="C130">
        <v>2021</v>
      </c>
      <c r="D130">
        <v>580.21</v>
      </c>
      <c r="E130">
        <v>662.83</v>
      </c>
      <c r="F130">
        <v>842.22</v>
      </c>
      <c r="G130">
        <v>1145.7</v>
      </c>
      <c r="H130">
        <v>1304.3399999999999</v>
      </c>
      <c r="I130">
        <v>63111.9</v>
      </c>
      <c r="J130" s="1">
        <f>L130</f>
        <v>2.5325098117234397E-2</v>
      </c>
      <c r="K130">
        <v>907.06</v>
      </c>
      <c r="L130">
        <f t="shared" si="6"/>
        <v>2.5325098117234397E-2</v>
      </c>
    </row>
    <row r="131" spans="1:12" x14ac:dyDescent="0.2">
      <c r="A131">
        <v>249</v>
      </c>
      <c r="B131" t="s">
        <v>36</v>
      </c>
      <c r="C131">
        <v>2022</v>
      </c>
      <c r="D131">
        <v>614.59</v>
      </c>
      <c r="E131">
        <v>698.08</v>
      </c>
      <c r="F131">
        <v>884.46</v>
      </c>
      <c r="G131">
        <v>1194.21</v>
      </c>
      <c r="H131">
        <v>1362.72</v>
      </c>
      <c r="I131">
        <v>63111.9</v>
      </c>
      <c r="J131" s="1">
        <f>L131</f>
        <v>4.8234956893700595E-2</v>
      </c>
      <c r="K131">
        <v>950.81200000000001</v>
      </c>
      <c r="L131">
        <f t="shared" si="6"/>
        <v>4.8234956893700595E-2</v>
      </c>
    </row>
    <row r="132" spans="1:12" s="2" customFormat="1" x14ac:dyDescent="0.2">
      <c r="A132" s="2">
        <v>194</v>
      </c>
      <c r="B132" s="2" t="s">
        <v>37</v>
      </c>
      <c r="C132" s="2">
        <v>2018</v>
      </c>
      <c r="D132" s="2">
        <v>470.35</v>
      </c>
      <c r="E132" s="2">
        <v>539.34</v>
      </c>
      <c r="F132" s="2">
        <v>695.27</v>
      </c>
      <c r="G132" s="2">
        <v>931.09</v>
      </c>
      <c r="H132" s="2">
        <v>1058.6600000000001</v>
      </c>
      <c r="I132" s="2">
        <v>51641.39</v>
      </c>
      <c r="J132" s="2">
        <v>0</v>
      </c>
      <c r="K132" s="2">
        <v>738.94200000000001</v>
      </c>
    </row>
    <row r="133" spans="1:12" x14ac:dyDescent="0.2">
      <c r="A133">
        <v>138</v>
      </c>
      <c r="B133" t="s">
        <v>37</v>
      </c>
      <c r="C133">
        <v>2019</v>
      </c>
      <c r="D133">
        <v>479.94</v>
      </c>
      <c r="E133">
        <v>550.4</v>
      </c>
      <c r="F133">
        <v>707.89</v>
      </c>
      <c r="G133">
        <v>945.34</v>
      </c>
      <c r="H133">
        <v>1079.8699999999999</v>
      </c>
      <c r="I133">
        <v>51641.39</v>
      </c>
      <c r="J133">
        <v>0.02</v>
      </c>
      <c r="K133">
        <v>752.68799999999999</v>
      </c>
      <c r="L133">
        <f t="shared" si="6"/>
        <v>1.8602271896847086E-2</v>
      </c>
    </row>
    <row r="134" spans="1:12" x14ac:dyDescent="0.2">
      <c r="A134">
        <v>82</v>
      </c>
      <c r="B134" t="s">
        <v>37</v>
      </c>
      <c r="C134">
        <v>2020</v>
      </c>
      <c r="D134">
        <v>484.99</v>
      </c>
      <c r="E134">
        <v>547.94000000000005</v>
      </c>
      <c r="F134">
        <v>701.63</v>
      </c>
      <c r="G134">
        <v>935.17</v>
      </c>
      <c r="H134">
        <v>1065.08</v>
      </c>
      <c r="I134">
        <v>52381.93</v>
      </c>
      <c r="J134">
        <v>-0.01</v>
      </c>
      <c r="K134">
        <v>746.96199999999999</v>
      </c>
      <c r="L134">
        <f t="shared" si="6"/>
        <v>-7.6074017388346824E-3</v>
      </c>
    </row>
    <row r="135" spans="1:12" x14ac:dyDescent="0.2">
      <c r="A135">
        <v>26</v>
      </c>
      <c r="B135" t="s">
        <v>37</v>
      </c>
      <c r="C135">
        <v>2021</v>
      </c>
      <c r="D135">
        <v>513.15</v>
      </c>
      <c r="E135">
        <v>569.54</v>
      </c>
      <c r="F135">
        <v>729.39</v>
      </c>
      <c r="G135">
        <v>968.39</v>
      </c>
      <c r="H135">
        <v>1107.24</v>
      </c>
      <c r="I135">
        <v>52381.93</v>
      </c>
      <c r="J135" s="1">
        <f>L135</f>
        <v>4.0939164241286762E-2</v>
      </c>
      <c r="K135">
        <v>777.54200000000003</v>
      </c>
      <c r="L135">
        <f t="shared" si="6"/>
        <v>4.0939164241286762E-2</v>
      </c>
    </row>
    <row r="136" spans="1:12" x14ac:dyDescent="0.2">
      <c r="A136">
        <v>250</v>
      </c>
      <c r="B136" t="s">
        <v>37</v>
      </c>
      <c r="C136">
        <v>2022</v>
      </c>
      <c r="D136">
        <v>541.87</v>
      </c>
      <c r="E136">
        <v>588.89</v>
      </c>
      <c r="F136">
        <v>750.48</v>
      </c>
      <c r="G136">
        <v>992.28</v>
      </c>
      <c r="H136">
        <v>1141.6600000000001</v>
      </c>
      <c r="I136">
        <v>52381.93</v>
      </c>
      <c r="J136" s="1">
        <f>L136</f>
        <v>3.2787939429638563E-2</v>
      </c>
      <c r="K136">
        <v>803.03599999999994</v>
      </c>
      <c r="L136">
        <f t="shared" si="6"/>
        <v>3.2787939429638563E-2</v>
      </c>
    </row>
    <row r="137" spans="1:12" s="2" customFormat="1" x14ac:dyDescent="0.2">
      <c r="A137" s="2">
        <v>195</v>
      </c>
      <c r="B137" s="2" t="s">
        <v>38</v>
      </c>
      <c r="C137" s="2">
        <v>2018</v>
      </c>
      <c r="D137" s="2">
        <v>432</v>
      </c>
      <c r="E137" s="2">
        <v>509</v>
      </c>
      <c r="F137" s="2">
        <v>677</v>
      </c>
      <c r="G137" s="2">
        <v>977</v>
      </c>
      <c r="H137" s="2">
        <v>1177</v>
      </c>
      <c r="I137" s="2">
        <v>53883</v>
      </c>
      <c r="J137" s="2">
        <v>0.02</v>
      </c>
      <c r="K137" s="2">
        <v>754.4</v>
      </c>
    </row>
    <row r="138" spans="1:12" x14ac:dyDescent="0.2">
      <c r="A138">
        <v>139</v>
      </c>
      <c r="B138" t="s">
        <v>38</v>
      </c>
      <c r="C138">
        <v>2019</v>
      </c>
      <c r="D138">
        <v>457</v>
      </c>
      <c r="E138">
        <v>538</v>
      </c>
      <c r="F138">
        <v>712</v>
      </c>
      <c r="G138">
        <v>1028</v>
      </c>
      <c r="H138">
        <v>1238</v>
      </c>
      <c r="I138">
        <v>53883</v>
      </c>
      <c r="J138">
        <v>0.05</v>
      </c>
      <c r="K138">
        <v>794.6</v>
      </c>
      <c r="L138">
        <f t="shared" ref="L138:L201" si="7">((AVERAGE(D138:H138))-(AVERAGE(D137:H137)))/(AVERAGE(D137:H137))</f>
        <v>5.328738069989402E-2</v>
      </c>
    </row>
    <row r="139" spans="1:12" x14ac:dyDescent="0.2">
      <c r="A139">
        <v>83</v>
      </c>
      <c r="B139" t="s">
        <v>38</v>
      </c>
      <c r="C139">
        <v>2020</v>
      </c>
      <c r="D139">
        <v>480</v>
      </c>
      <c r="E139">
        <v>560</v>
      </c>
      <c r="F139">
        <v>737</v>
      </c>
      <c r="G139">
        <v>1063</v>
      </c>
      <c r="H139">
        <v>1281</v>
      </c>
      <c r="I139">
        <v>53883</v>
      </c>
      <c r="J139">
        <v>0.04</v>
      </c>
      <c r="K139">
        <v>824.2</v>
      </c>
      <c r="L139">
        <f t="shared" si="7"/>
        <v>3.7251447269066228E-2</v>
      </c>
    </row>
    <row r="140" spans="1:12" x14ac:dyDescent="0.2">
      <c r="A140">
        <v>27</v>
      </c>
      <c r="B140" t="s">
        <v>38</v>
      </c>
      <c r="C140">
        <v>2021</v>
      </c>
      <c r="D140">
        <v>509</v>
      </c>
      <c r="E140">
        <v>586</v>
      </c>
      <c r="F140">
        <v>772</v>
      </c>
      <c r="G140">
        <v>1105</v>
      </c>
      <c r="H140">
        <v>1337</v>
      </c>
      <c r="I140">
        <v>53883</v>
      </c>
      <c r="J140" s="1">
        <f>L140</f>
        <v>4.5619995146808916E-2</v>
      </c>
      <c r="K140">
        <v>861.8</v>
      </c>
      <c r="L140">
        <f t="shared" si="7"/>
        <v>4.5619995146808916E-2</v>
      </c>
    </row>
    <row r="141" spans="1:12" x14ac:dyDescent="0.2">
      <c r="A141">
        <v>251</v>
      </c>
      <c r="B141" t="s">
        <v>38</v>
      </c>
      <c r="C141">
        <v>2022</v>
      </c>
      <c r="D141">
        <v>532</v>
      </c>
      <c r="E141">
        <v>608</v>
      </c>
      <c r="F141">
        <v>800</v>
      </c>
      <c r="G141">
        <v>1136</v>
      </c>
      <c r="H141">
        <v>1369</v>
      </c>
      <c r="I141">
        <v>53883</v>
      </c>
      <c r="J141" s="1">
        <f>L141</f>
        <v>3.156184729635652E-2</v>
      </c>
      <c r="K141">
        <v>889</v>
      </c>
      <c r="L141">
        <f t="shared" si="7"/>
        <v>3.156184729635652E-2</v>
      </c>
    </row>
    <row r="142" spans="1:12" s="2" customFormat="1" x14ac:dyDescent="0.2">
      <c r="A142" s="2">
        <v>196</v>
      </c>
      <c r="B142" s="2" t="s">
        <v>39</v>
      </c>
      <c r="C142" s="2">
        <v>2018</v>
      </c>
      <c r="D142" s="2">
        <v>503.3</v>
      </c>
      <c r="E142" s="2">
        <v>567.17999999999995</v>
      </c>
      <c r="F142" s="2">
        <v>701.35</v>
      </c>
      <c r="G142" s="2">
        <v>924.43</v>
      </c>
      <c r="H142" s="2">
        <v>1032.8499999999999</v>
      </c>
      <c r="I142" s="2">
        <v>36186.550000000003</v>
      </c>
      <c r="J142" s="2">
        <v>-0.03</v>
      </c>
      <c r="K142" s="2">
        <v>745.822</v>
      </c>
    </row>
    <row r="143" spans="1:12" x14ac:dyDescent="0.2">
      <c r="A143">
        <v>140</v>
      </c>
      <c r="B143" t="s">
        <v>39</v>
      </c>
      <c r="C143">
        <v>2019</v>
      </c>
      <c r="D143">
        <v>506.28</v>
      </c>
      <c r="E143">
        <v>559.39</v>
      </c>
      <c r="F143">
        <v>692</v>
      </c>
      <c r="G143">
        <v>905.04</v>
      </c>
      <c r="H143">
        <v>1019.74</v>
      </c>
      <c r="I143">
        <v>36186.550000000003</v>
      </c>
      <c r="J143">
        <v>-0.01</v>
      </c>
      <c r="K143">
        <v>736.49</v>
      </c>
      <c r="L143">
        <f t="shared" si="7"/>
        <v>-1.2512368903035686E-2</v>
      </c>
    </row>
    <row r="144" spans="1:12" x14ac:dyDescent="0.2">
      <c r="A144">
        <v>84</v>
      </c>
      <c r="B144" t="s">
        <v>39</v>
      </c>
      <c r="C144">
        <v>2020</v>
      </c>
      <c r="D144">
        <v>524.29</v>
      </c>
      <c r="E144">
        <v>569.34</v>
      </c>
      <c r="F144">
        <v>703.3</v>
      </c>
      <c r="G144">
        <v>915.59</v>
      </c>
      <c r="H144">
        <v>1043.02</v>
      </c>
      <c r="I144">
        <v>36417.01</v>
      </c>
      <c r="J144">
        <v>0.02</v>
      </c>
      <c r="K144">
        <v>751.10799999999995</v>
      </c>
      <c r="L144">
        <f t="shared" si="7"/>
        <v>1.9848198889326315E-2</v>
      </c>
    </row>
    <row r="145" spans="1:12" x14ac:dyDescent="0.2">
      <c r="A145">
        <v>28</v>
      </c>
      <c r="B145" t="s">
        <v>39</v>
      </c>
      <c r="C145">
        <v>2021</v>
      </c>
      <c r="D145">
        <v>552.76</v>
      </c>
      <c r="E145">
        <v>589.71</v>
      </c>
      <c r="F145">
        <v>727.13</v>
      </c>
      <c r="G145">
        <v>940.56</v>
      </c>
      <c r="H145">
        <v>1072.55</v>
      </c>
      <c r="I145">
        <v>36417.01</v>
      </c>
      <c r="J145" s="1">
        <f>L145</f>
        <v>3.3861974576226167E-2</v>
      </c>
      <c r="K145">
        <v>776.54200000000003</v>
      </c>
      <c r="L145">
        <f t="shared" si="7"/>
        <v>3.3861974576226167E-2</v>
      </c>
    </row>
    <row r="146" spans="1:12" x14ac:dyDescent="0.2">
      <c r="A146">
        <v>252</v>
      </c>
      <c r="B146" t="s">
        <v>39</v>
      </c>
      <c r="C146">
        <v>2022</v>
      </c>
      <c r="D146">
        <v>577.82000000000005</v>
      </c>
      <c r="E146">
        <v>613.57000000000005</v>
      </c>
      <c r="F146">
        <v>749.27</v>
      </c>
      <c r="G146">
        <v>971.43</v>
      </c>
      <c r="H146">
        <v>1090.22</v>
      </c>
      <c r="I146">
        <v>36417.01</v>
      </c>
      <c r="J146" s="1">
        <f>L146</f>
        <v>3.0803227642548725E-2</v>
      </c>
      <c r="K146">
        <v>800.46199999999999</v>
      </c>
      <c r="L146">
        <f t="shared" si="7"/>
        <v>3.0803227642548725E-2</v>
      </c>
    </row>
    <row r="147" spans="1:12" s="2" customFormat="1" x14ac:dyDescent="0.2">
      <c r="A147" s="2">
        <v>197</v>
      </c>
      <c r="B147" s="2" t="s">
        <v>40</v>
      </c>
      <c r="C147" s="2">
        <v>2018</v>
      </c>
      <c r="D147" s="2">
        <v>533.95000000000005</v>
      </c>
      <c r="E147" s="2">
        <v>604.48</v>
      </c>
      <c r="F147" s="2">
        <v>757.71</v>
      </c>
      <c r="G147" s="2">
        <v>1024.4100000000001</v>
      </c>
      <c r="H147" s="2">
        <v>1240.05</v>
      </c>
      <c r="I147" s="2">
        <v>17668.12</v>
      </c>
      <c r="J147" s="2">
        <v>0.06</v>
      </c>
      <c r="K147" s="2">
        <v>832.12</v>
      </c>
    </row>
    <row r="148" spans="1:12" x14ac:dyDescent="0.2">
      <c r="A148">
        <v>141</v>
      </c>
      <c r="B148" t="s">
        <v>40</v>
      </c>
      <c r="C148">
        <v>2019</v>
      </c>
      <c r="D148">
        <v>520.57000000000005</v>
      </c>
      <c r="E148">
        <v>589.52</v>
      </c>
      <c r="F148">
        <v>749.11</v>
      </c>
      <c r="G148">
        <v>1005.38</v>
      </c>
      <c r="H148">
        <v>1213.23</v>
      </c>
      <c r="I148">
        <v>17668.12</v>
      </c>
      <c r="J148">
        <v>-0.01</v>
      </c>
      <c r="K148">
        <v>815.56200000000001</v>
      </c>
      <c r="L148">
        <f t="shared" si="7"/>
        <v>-1.9898572321299803E-2</v>
      </c>
    </row>
    <row r="149" spans="1:12" x14ac:dyDescent="0.2">
      <c r="A149">
        <v>85</v>
      </c>
      <c r="B149" t="s">
        <v>40</v>
      </c>
      <c r="C149">
        <v>2020</v>
      </c>
      <c r="D149">
        <v>560.79</v>
      </c>
      <c r="E149">
        <v>635.57000000000005</v>
      </c>
      <c r="F149">
        <v>809.02</v>
      </c>
      <c r="G149">
        <v>1080.93</v>
      </c>
      <c r="H149">
        <v>1286.3</v>
      </c>
      <c r="I149">
        <v>18390.18</v>
      </c>
      <c r="J149">
        <v>0.08</v>
      </c>
      <c r="K149">
        <v>874.52200000000005</v>
      </c>
      <c r="L149">
        <f t="shared" si="7"/>
        <v>7.2293706670982741E-2</v>
      </c>
    </row>
    <row r="150" spans="1:12" x14ac:dyDescent="0.2">
      <c r="A150">
        <v>29</v>
      </c>
      <c r="B150" t="s">
        <v>40</v>
      </c>
      <c r="C150">
        <v>2021</v>
      </c>
      <c r="D150">
        <v>587.62</v>
      </c>
      <c r="E150">
        <v>654.42999999999995</v>
      </c>
      <c r="F150">
        <v>831.21</v>
      </c>
      <c r="G150">
        <v>1108.3</v>
      </c>
      <c r="H150">
        <v>1300.45</v>
      </c>
      <c r="I150">
        <v>18390.18</v>
      </c>
      <c r="J150" s="1">
        <f>L150</f>
        <v>2.5019382016690121E-2</v>
      </c>
      <c r="K150">
        <v>896.40200000000004</v>
      </c>
      <c r="L150">
        <f t="shared" si="7"/>
        <v>2.5019382016690121E-2</v>
      </c>
    </row>
    <row r="151" spans="1:12" x14ac:dyDescent="0.2">
      <c r="A151">
        <v>253</v>
      </c>
      <c r="B151" t="s">
        <v>40</v>
      </c>
      <c r="C151">
        <v>2022</v>
      </c>
      <c r="D151">
        <v>581.89</v>
      </c>
      <c r="E151">
        <v>648.11</v>
      </c>
      <c r="F151">
        <v>819.2</v>
      </c>
      <c r="G151">
        <v>1099.18</v>
      </c>
      <c r="H151">
        <v>1279.0899999999999</v>
      </c>
      <c r="I151">
        <v>18390.18</v>
      </c>
      <c r="J151" s="1">
        <f>L151</f>
        <v>-1.2168647548756044E-2</v>
      </c>
      <c r="K151">
        <v>885.49400000000003</v>
      </c>
      <c r="L151">
        <f t="shared" si="7"/>
        <v>-1.2168647548756044E-2</v>
      </c>
    </row>
    <row r="152" spans="1:12" s="2" customFormat="1" x14ac:dyDescent="0.2">
      <c r="A152" s="2">
        <v>198</v>
      </c>
      <c r="B152" s="2" t="s">
        <v>41</v>
      </c>
      <c r="C152" s="2">
        <v>2018</v>
      </c>
      <c r="D152" s="2">
        <v>602.89</v>
      </c>
      <c r="E152" s="2">
        <v>627.72</v>
      </c>
      <c r="F152" s="2">
        <v>773.1</v>
      </c>
      <c r="G152" s="2">
        <v>1037.96</v>
      </c>
      <c r="H152" s="2">
        <v>1239.17</v>
      </c>
      <c r="I152" s="2">
        <v>95354.83</v>
      </c>
      <c r="J152" s="2">
        <v>0.04</v>
      </c>
      <c r="K152" s="2">
        <v>856.16800000000001</v>
      </c>
    </row>
    <row r="153" spans="1:12" x14ac:dyDescent="0.2">
      <c r="A153">
        <v>142</v>
      </c>
      <c r="B153" t="s">
        <v>41</v>
      </c>
      <c r="C153">
        <v>2019</v>
      </c>
      <c r="D153">
        <v>617.04</v>
      </c>
      <c r="E153">
        <v>638.19000000000005</v>
      </c>
      <c r="F153">
        <v>784.3</v>
      </c>
      <c r="G153">
        <v>1050.8</v>
      </c>
      <c r="H153">
        <v>1260.67</v>
      </c>
      <c r="I153">
        <v>95354.83</v>
      </c>
      <c r="J153">
        <v>0.01</v>
      </c>
      <c r="K153">
        <v>870.2</v>
      </c>
      <c r="L153">
        <f t="shared" si="7"/>
        <v>1.6389306771568243E-2</v>
      </c>
    </row>
    <row r="154" spans="1:12" x14ac:dyDescent="0.2">
      <c r="A154">
        <v>86</v>
      </c>
      <c r="B154" t="s">
        <v>41</v>
      </c>
      <c r="C154">
        <v>2020</v>
      </c>
      <c r="D154">
        <v>633.14</v>
      </c>
      <c r="E154">
        <v>651.65</v>
      </c>
      <c r="F154">
        <v>799.12</v>
      </c>
      <c r="G154">
        <v>1062.55</v>
      </c>
      <c r="H154">
        <v>1282.3499999999999</v>
      </c>
      <c r="I154">
        <v>100525.6</v>
      </c>
      <c r="J154">
        <v>0.02</v>
      </c>
      <c r="K154">
        <v>885.76199999999994</v>
      </c>
      <c r="L154">
        <f t="shared" si="7"/>
        <v>1.7883245230981264E-2</v>
      </c>
    </row>
    <row r="155" spans="1:12" x14ac:dyDescent="0.2">
      <c r="A155">
        <v>30</v>
      </c>
      <c r="B155" t="s">
        <v>41</v>
      </c>
      <c r="C155">
        <v>2021</v>
      </c>
      <c r="D155">
        <v>657.3</v>
      </c>
      <c r="E155">
        <v>674.45</v>
      </c>
      <c r="F155">
        <v>825.05</v>
      </c>
      <c r="G155">
        <v>1089.8599999999999</v>
      </c>
      <c r="H155">
        <v>1312.96</v>
      </c>
      <c r="I155">
        <v>100525.6</v>
      </c>
      <c r="J155" s="1">
        <f>L155</f>
        <v>2.9536150794457244E-2</v>
      </c>
      <c r="K155">
        <v>911.92399999999998</v>
      </c>
      <c r="L155">
        <f t="shared" si="7"/>
        <v>2.9536150794457244E-2</v>
      </c>
    </row>
    <row r="156" spans="1:12" x14ac:dyDescent="0.2">
      <c r="A156">
        <v>254</v>
      </c>
      <c r="B156" t="s">
        <v>41</v>
      </c>
      <c r="C156">
        <v>2022</v>
      </c>
      <c r="D156">
        <v>677.41</v>
      </c>
      <c r="E156">
        <v>701.14</v>
      </c>
      <c r="F156">
        <v>856.46</v>
      </c>
      <c r="G156">
        <v>1123.82</v>
      </c>
      <c r="H156">
        <v>1355.34</v>
      </c>
      <c r="I156">
        <v>100525.6</v>
      </c>
      <c r="J156" s="1">
        <f>L156</f>
        <v>3.3895368473688688E-2</v>
      </c>
      <c r="K156">
        <v>942.83399999999995</v>
      </c>
      <c r="L156">
        <f t="shared" si="7"/>
        <v>3.3895368473688688E-2</v>
      </c>
    </row>
    <row r="157" spans="1:12" s="2" customFormat="1" x14ac:dyDescent="0.2">
      <c r="A157" s="2">
        <v>199</v>
      </c>
      <c r="B157" s="2" t="s">
        <v>42</v>
      </c>
      <c r="C157" s="2">
        <v>2018</v>
      </c>
      <c r="D157" s="2">
        <v>592</v>
      </c>
      <c r="E157" s="2">
        <v>609.04</v>
      </c>
      <c r="F157" s="2">
        <v>764.49</v>
      </c>
      <c r="G157" s="2">
        <v>1063.3800000000001</v>
      </c>
      <c r="H157" s="2">
        <v>1187.6199999999999</v>
      </c>
      <c r="I157" s="2">
        <v>12690.4</v>
      </c>
      <c r="J157" s="2">
        <v>-0.01</v>
      </c>
      <c r="K157" s="2">
        <v>843.30600000000004</v>
      </c>
    </row>
    <row r="158" spans="1:12" x14ac:dyDescent="0.2">
      <c r="A158">
        <v>143</v>
      </c>
      <c r="B158" t="s">
        <v>42</v>
      </c>
      <c r="C158">
        <v>2019</v>
      </c>
      <c r="D158">
        <v>605.41999999999996</v>
      </c>
      <c r="E158">
        <v>624.64</v>
      </c>
      <c r="F158">
        <v>779.21</v>
      </c>
      <c r="G158">
        <v>1066.77</v>
      </c>
      <c r="H158">
        <v>1223.77</v>
      </c>
      <c r="I158">
        <v>12690.4</v>
      </c>
      <c r="J158">
        <v>0.02</v>
      </c>
      <c r="K158">
        <v>859.96199999999999</v>
      </c>
      <c r="L158">
        <f t="shared" si="7"/>
        <v>1.9750837774188668E-2</v>
      </c>
    </row>
    <row r="159" spans="1:12" x14ac:dyDescent="0.2">
      <c r="A159">
        <v>87</v>
      </c>
      <c r="B159" t="s">
        <v>42</v>
      </c>
      <c r="C159">
        <v>2020</v>
      </c>
      <c r="D159">
        <v>596.25</v>
      </c>
      <c r="E159">
        <v>613.94000000000005</v>
      </c>
      <c r="F159">
        <v>765.62</v>
      </c>
      <c r="G159">
        <v>1053.4000000000001</v>
      </c>
      <c r="H159">
        <v>1201.57</v>
      </c>
      <c r="I159">
        <v>14065.47</v>
      </c>
      <c r="J159">
        <v>-0.01</v>
      </c>
      <c r="K159">
        <v>846.15599999999995</v>
      </c>
      <c r="L159">
        <f t="shared" si="7"/>
        <v>-1.6054197743621147E-2</v>
      </c>
    </row>
    <row r="160" spans="1:12" x14ac:dyDescent="0.2">
      <c r="A160">
        <v>31</v>
      </c>
      <c r="B160" t="s">
        <v>42</v>
      </c>
      <c r="C160">
        <v>2021</v>
      </c>
      <c r="D160">
        <v>606.23</v>
      </c>
      <c r="E160">
        <v>621.72</v>
      </c>
      <c r="F160">
        <v>780.74</v>
      </c>
      <c r="G160">
        <v>1074.17</v>
      </c>
      <c r="H160">
        <v>1212.72</v>
      </c>
      <c r="I160">
        <v>14065.47</v>
      </c>
      <c r="J160" s="1">
        <f>L160</f>
        <v>1.5316324649355482E-2</v>
      </c>
      <c r="K160">
        <v>859.11599999999999</v>
      </c>
      <c r="L160">
        <f t="shared" si="7"/>
        <v>1.5316324649355482E-2</v>
      </c>
    </row>
    <row r="161" spans="1:12" x14ac:dyDescent="0.2">
      <c r="A161">
        <v>255</v>
      </c>
      <c r="B161" t="s">
        <v>42</v>
      </c>
      <c r="C161">
        <v>2022</v>
      </c>
      <c r="D161">
        <v>622.58000000000004</v>
      </c>
      <c r="E161">
        <v>637.80999999999995</v>
      </c>
      <c r="F161">
        <v>797.66</v>
      </c>
      <c r="G161">
        <v>1084.26</v>
      </c>
      <c r="H161">
        <v>1261.25</v>
      </c>
      <c r="I161">
        <v>14065.47</v>
      </c>
      <c r="J161" s="1">
        <f>L161</f>
        <v>2.5137466884564936E-2</v>
      </c>
      <c r="K161">
        <v>880.71199999999999</v>
      </c>
      <c r="L161">
        <f t="shared" si="7"/>
        <v>2.5137466884564936E-2</v>
      </c>
    </row>
    <row r="162" spans="1:12" s="2" customFormat="1" x14ac:dyDescent="0.2">
      <c r="A162" s="2">
        <v>200</v>
      </c>
      <c r="B162" s="2" t="s">
        <v>43</v>
      </c>
      <c r="C162" s="2">
        <v>2018</v>
      </c>
      <c r="D162" s="2">
        <v>446.84</v>
      </c>
      <c r="E162" s="2">
        <v>530.91</v>
      </c>
      <c r="F162" s="2">
        <v>682.35</v>
      </c>
      <c r="G162" s="2">
        <v>895.29</v>
      </c>
      <c r="H162" s="2">
        <v>993.4</v>
      </c>
      <c r="I162" s="2">
        <v>19638.080000000002</v>
      </c>
      <c r="J162" s="2">
        <v>0.01</v>
      </c>
      <c r="K162" s="2">
        <v>709.75800000000004</v>
      </c>
    </row>
    <row r="163" spans="1:12" x14ac:dyDescent="0.2">
      <c r="A163">
        <v>144</v>
      </c>
      <c r="B163" t="s">
        <v>43</v>
      </c>
      <c r="C163">
        <v>2019</v>
      </c>
      <c r="D163">
        <v>488.27</v>
      </c>
      <c r="E163">
        <v>578.73</v>
      </c>
      <c r="F163">
        <v>738.09</v>
      </c>
      <c r="G163">
        <v>967.71</v>
      </c>
      <c r="H163">
        <v>1080.81</v>
      </c>
      <c r="I163">
        <v>19638.080000000002</v>
      </c>
      <c r="J163">
        <v>0.08</v>
      </c>
      <c r="K163">
        <v>770.72199999999998</v>
      </c>
      <c r="L163">
        <f t="shared" si="7"/>
        <v>8.5894065301130723E-2</v>
      </c>
    </row>
    <row r="164" spans="1:12" x14ac:dyDescent="0.2">
      <c r="A164">
        <v>88</v>
      </c>
      <c r="B164" t="s">
        <v>43</v>
      </c>
      <c r="C164">
        <v>2020</v>
      </c>
      <c r="D164">
        <v>480.46</v>
      </c>
      <c r="E164">
        <v>568.65</v>
      </c>
      <c r="F164">
        <v>723.62</v>
      </c>
      <c r="G164">
        <v>946.4</v>
      </c>
      <c r="H164">
        <v>1062.6199999999999</v>
      </c>
      <c r="I164">
        <v>20364.84</v>
      </c>
      <c r="J164">
        <v>-0.02</v>
      </c>
      <c r="K164">
        <v>756.35</v>
      </c>
      <c r="L164">
        <f t="shared" si="7"/>
        <v>-1.8647450053326565E-2</v>
      </c>
    </row>
    <row r="165" spans="1:12" x14ac:dyDescent="0.2">
      <c r="A165">
        <v>32</v>
      </c>
      <c r="B165" t="s">
        <v>43</v>
      </c>
      <c r="C165">
        <v>2021</v>
      </c>
      <c r="D165">
        <v>507.49</v>
      </c>
      <c r="E165">
        <v>594.63</v>
      </c>
      <c r="F165">
        <v>758.91</v>
      </c>
      <c r="G165">
        <v>988.77</v>
      </c>
      <c r="H165">
        <v>1101.81</v>
      </c>
      <c r="I165">
        <v>20364.84</v>
      </c>
      <c r="J165" s="1">
        <f>L165</f>
        <v>4.4915713624644499E-2</v>
      </c>
      <c r="K165">
        <v>790.322</v>
      </c>
      <c r="L165">
        <f t="shared" si="7"/>
        <v>4.4915713624644499E-2</v>
      </c>
    </row>
    <row r="166" spans="1:12" x14ac:dyDescent="0.2">
      <c r="A166">
        <v>256</v>
      </c>
      <c r="B166" t="s">
        <v>43</v>
      </c>
      <c r="C166">
        <v>2022</v>
      </c>
      <c r="D166">
        <v>526.83000000000004</v>
      </c>
      <c r="E166">
        <v>610.27</v>
      </c>
      <c r="F166">
        <v>778.53</v>
      </c>
      <c r="G166">
        <v>1007.23</v>
      </c>
      <c r="H166">
        <v>1121.3399999999999</v>
      </c>
      <c r="I166">
        <v>20364.84</v>
      </c>
      <c r="J166" s="1">
        <f>L166</f>
        <v>2.3430955990090156E-2</v>
      </c>
      <c r="K166">
        <v>808.84</v>
      </c>
      <c r="L166">
        <f t="shared" si="7"/>
        <v>2.3430955990090156E-2</v>
      </c>
    </row>
    <row r="167" spans="1:12" s="2" customFormat="1" x14ac:dyDescent="0.2">
      <c r="A167" s="2">
        <v>201</v>
      </c>
      <c r="B167" s="2" t="s">
        <v>44</v>
      </c>
      <c r="C167" s="2">
        <v>2018</v>
      </c>
      <c r="D167" s="2">
        <v>758.43</v>
      </c>
      <c r="E167" s="2">
        <v>842.24</v>
      </c>
      <c r="F167" s="2">
        <v>1063.96</v>
      </c>
      <c r="G167" s="2">
        <v>1391.87</v>
      </c>
      <c r="H167" s="2">
        <v>1621.47</v>
      </c>
      <c r="I167" s="2">
        <v>5082.8999999999996</v>
      </c>
      <c r="J167" s="2">
        <v>0.04</v>
      </c>
      <c r="K167" s="2">
        <v>1135.5940000000001</v>
      </c>
    </row>
    <row r="168" spans="1:12" x14ac:dyDescent="0.2">
      <c r="A168">
        <v>145</v>
      </c>
      <c r="B168" t="s">
        <v>44</v>
      </c>
      <c r="C168">
        <v>2019</v>
      </c>
      <c r="D168">
        <v>771.17</v>
      </c>
      <c r="E168">
        <v>865.12</v>
      </c>
      <c r="F168">
        <v>1096.97</v>
      </c>
      <c r="G168">
        <v>1440.34</v>
      </c>
      <c r="H168">
        <v>1692.68</v>
      </c>
      <c r="I168">
        <v>5082.8999999999996</v>
      </c>
      <c r="J168">
        <v>0.03</v>
      </c>
      <c r="K168">
        <v>1173.2560000000001</v>
      </c>
      <c r="L168">
        <f t="shared" si="7"/>
        <v>3.3165022006104321E-2</v>
      </c>
    </row>
    <row r="169" spans="1:12" x14ac:dyDescent="0.2">
      <c r="A169">
        <v>89</v>
      </c>
      <c r="B169" t="s">
        <v>44</v>
      </c>
      <c r="C169">
        <v>2020</v>
      </c>
      <c r="D169">
        <v>756.72</v>
      </c>
      <c r="E169">
        <v>855.86</v>
      </c>
      <c r="F169">
        <v>1088.8499999999999</v>
      </c>
      <c r="G169">
        <v>1425.68</v>
      </c>
      <c r="H169">
        <v>1686.89</v>
      </c>
      <c r="I169">
        <v>5142.12</v>
      </c>
      <c r="J169">
        <v>-0.01</v>
      </c>
      <c r="K169">
        <v>1162.8</v>
      </c>
      <c r="L169">
        <f t="shared" si="7"/>
        <v>-8.9119510149533697E-3</v>
      </c>
    </row>
    <row r="170" spans="1:12" x14ac:dyDescent="0.2">
      <c r="A170">
        <v>33</v>
      </c>
      <c r="B170" t="s">
        <v>44</v>
      </c>
      <c r="C170">
        <v>2021</v>
      </c>
      <c r="D170">
        <v>787.58</v>
      </c>
      <c r="E170">
        <v>896.15</v>
      </c>
      <c r="F170">
        <v>1141.77</v>
      </c>
      <c r="G170">
        <v>1491.93</v>
      </c>
      <c r="H170">
        <v>1770.98</v>
      </c>
      <c r="I170">
        <v>5142.12</v>
      </c>
      <c r="J170" s="1">
        <f>L170</f>
        <v>4.7198142414860735E-2</v>
      </c>
      <c r="K170">
        <v>1217.682</v>
      </c>
      <c r="L170">
        <f t="shared" si="7"/>
        <v>4.7198142414860735E-2</v>
      </c>
    </row>
    <row r="171" spans="1:12" x14ac:dyDescent="0.2">
      <c r="A171">
        <v>257</v>
      </c>
      <c r="B171" t="s">
        <v>44</v>
      </c>
      <c r="C171">
        <v>2022</v>
      </c>
      <c r="D171">
        <v>837.19</v>
      </c>
      <c r="E171">
        <v>946.95</v>
      </c>
      <c r="F171">
        <v>1209.02</v>
      </c>
      <c r="G171">
        <v>1575.28</v>
      </c>
      <c r="H171">
        <v>1852.55</v>
      </c>
      <c r="I171">
        <v>5142.12</v>
      </c>
      <c r="J171" s="1">
        <f>L171</f>
        <v>5.4625099163820974E-2</v>
      </c>
      <c r="K171">
        <v>1284.1980000000001</v>
      </c>
      <c r="L171">
        <f t="shared" si="7"/>
        <v>5.4625099163820974E-2</v>
      </c>
    </row>
    <row r="172" spans="1:12" s="2" customFormat="1" x14ac:dyDescent="0.2">
      <c r="A172" s="2">
        <v>202</v>
      </c>
      <c r="B172" s="2" t="s">
        <v>45</v>
      </c>
      <c r="C172" s="2">
        <v>2018</v>
      </c>
      <c r="D172" s="2">
        <v>967.81</v>
      </c>
      <c r="E172" s="2">
        <v>1129.33</v>
      </c>
      <c r="F172" s="2">
        <v>1393.81</v>
      </c>
      <c r="G172" s="2">
        <v>1794.71</v>
      </c>
      <c r="H172" s="2">
        <v>2079.29</v>
      </c>
      <c r="I172" s="2">
        <v>418661.62</v>
      </c>
      <c r="J172" s="2">
        <v>0.02</v>
      </c>
      <c r="K172" s="2">
        <v>1472.99</v>
      </c>
    </row>
    <row r="173" spans="1:12" x14ac:dyDescent="0.2">
      <c r="A173">
        <v>146</v>
      </c>
      <c r="B173" t="s">
        <v>45</v>
      </c>
      <c r="C173">
        <v>2019</v>
      </c>
      <c r="D173">
        <v>988.62</v>
      </c>
      <c r="E173">
        <v>1158.76</v>
      </c>
      <c r="F173">
        <v>1432.05</v>
      </c>
      <c r="G173">
        <v>1837.19</v>
      </c>
      <c r="H173">
        <v>2125.1</v>
      </c>
      <c r="I173">
        <v>418661.62</v>
      </c>
      <c r="J173">
        <v>0.03</v>
      </c>
      <c r="K173">
        <v>1508.3440000000001</v>
      </c>
      <c r="L173">
        <f t="shared" si="7"/>
        <v>2.4001520716366215E-2</v>
      </c>
    </row>
    <row r="174" spans="1:12" x14ac:dyDescent="0.2">
      <c r="A174">
        <v>90</v>
      </c>
      <c r="B174" t="s">
        <v>45</v>
      </c>
      <c r="C174">
        <v>2020</v>
      </c>
      <c r="D174">
        <v>1013.05</v>
      </c>
      <c r="E174">
        <v>1185.43</v>
      </c>
      <c r="F174">
        <v>1466.76</v>
      </c>
      <c r="G174">
        <v>1875.05</v>
      </c>
      <c r="H174">
        <v>2159.29</v>
      </c>
      <c r="I174">
        <v>426673.81</v>
      </c>
      <c r="J174">
        <v>0.02</v>
      </c>
      <c r="K174">
        <v>1539.9159999999999</v>
      </c>
      <c r="L174">
        <f t="shared" si="7"/>
        <v>2.0931564682857264E-2</v>
      </c>
    </row>
    <row r="175" spans="1:12" x14ac:dyDescent="0.2">
      <c r="A175">
        <v>34</v>
      </c>
      <c r="B175" t="s">
        <v>45</v>
      </c>
      <c r="C175">
        <v>2021</v>
      </c>
      <c r="D175">
        <v>1083.57</v>
      </c>
      <c r="E175">
        <v>1257.1400000000001</v>
      </c>
      <c r="F175">
        <v>1552.43</v>
      </c>
      <c r="G175">
        <v>1980.1</v>
      </c>
      <c r="H175">
        <v>2272.0500000000002</v>
      </c>
      <c r="I175">
        <v>426673.81</v>
      </c>
      <c r="J175" s="1">
        <f>L175</f>
        <v>5.7887573088402262E-2</v>
      </c>
      <c r="K175">
        <v>1629.058</v>
      </c>
      <c r="L175">
        <f t="shared" si="7"/>
        <v>5.7887573088402262E-2</v>
      </c>
    </row>
    <row r="176" spans="1:12" x14ac:dyDescent="0.2">
      <c r="A176">
        <v>258</v>
      </c>
      <c r="B176" t="s">
        <v>45</v>
      </c>
      <c r="C176">
        <v>2022</v>
      </c>
      <c r="D176">
        <v>1089.05</v>
      </c>
      <c r="E176">
        <v>1252.0999999999999</v>
      </c>
      <c r="F176">
        <v>1545.14</v>
      </c>
      <c r="G176">
        <v>1959.71</v>
      </c>
      <c r="H176">
        <v>2239.9499999999998</v>
      </c>
      <c r="I176">
        <v>426673.81</v>
      </c>
      <c r="J176" s="1">
        <f>L176</f>
        <v>-7.2851918102363076E-3</v>
      </c>
      <c r="K176">
        <v>1617.19</v>
      </c>
      <c r="L176">
        <f t="shared" si="7"/>
        <v>-7.2851918102363076E-3</v>
      </c>
    </row>
    <row r="177" spans="1:12" s="2" customFormat="1" x14ac:dyDescent="0.2">
      <c r="A177" s="2">
        <v>203</v>
      </c>
      <c r="B177" s="2" t="s">
        <v>46</v>
      </c>
      <c r="C177" s="2">
        <v>2018</v>
      </c>
      <c r="D177" s="2">
        <v>557.76</v>
      </c>
      <c r="E177" s="2">
        <v>610.33000000000004</v>
      </c>
      <c r="F177" s="2">
        <v>761.58</v>
      </c>
      <c r="G177" s="2">
        <v>1047.9100000000001</v>
      </c>
      <c r="H177" s="2">
        <v>1224.42</v>
      </c>
      <c r="I177" s="2">
        <v>62399.360000000001</v>
      </c>
      <c r="J177" s="2">
        <v>0.03</v>
      </c>
      <c r="K177" s="2">
        <v>840.4</v>
      </c>
    </row>
    <row r="178" spans="1:12" x14ac:dyDescent="0.2">
      <c r="A178">
        <v>147</v>
      </c>
      <c r="B178" t="s">
        <v>46</v>
      </c>
      <c r="C178">
        <v>2019</v>
      </c>
      <c r="D178">
        <v>598</v>
      </c>
      <c r="E178">
        <v>651.27</v>
      </c>
      <c r="F178">
        <v>806.7</v>
      </c>
      <c r="G178">
        <v>1108.1500000000001</v>
      </c>
      <c r="H178">
        <v>1299.18</v>
      </c>
      <c r="I178">
        <v>62399.360000000001</v>
      </c>
      <c r="J178">
        <v>0.06</v>
      </c>
      <c r="K178">
        <v>892.66</v>
      </c>
      <c r="L178">
        <f t="shared" si="7"/>
        <v>6.2184673964778801E-2</v>
      </c>
    </row>
    <row r="179" spans="1:12" x14ac:dyDescent="0.2">
      <c r="A179">
        <v>91</v>
      </c>
      <c r="B179" t="s">
        <v>46</v>
      </c>
      <c r="C179">
        <v>2020</v>
      </c>
      <c r="D179">
        <v>603.61</v>
      </c>
      <c r="E179">
        <v>649.61</v>
      </c>
      <c r="F179">
        <v>801.91</v>
      </c>
      <c r="G179">
        <v>1093.0899999999999</v>
      </c>
      <c r="H179">
        <v>1296.24</v>
      </c>
      <c r="I179">
        <v>63176.67</v>
      </c>
      <c r="J179">
        <v>0</v>
      </c>
      <c r="K179">
        <v>888.89200000000005</v>
      </c>
      <c r="L179">
        <f t="shared" si="7"/>
        <v>-4.2210920171174117E-3</v>
      </c>
    </row>
    <row r="180" spans="1:12" x14ac:dyDescent="0.2">
      <c r="A180">
        <v>35</v>
      </c>
      <c r="B180" t="s">
        <v>46</v>
      </c>
      <c r="C180">
        <v>2021</v>
      </c>
      <c r="D180">
        <v>639.27</v>
      </c>
      <c r="E180">
        <v>682.55</v>
      </c>
      <c r="F180">
        <v>842.12</v>
      </c>
      <c r="G180">
        <v>1137.33</v>
      </c>
      <c r="H180">
        <v>1351.48</v>
      </c>
      <c r="I180">
        <v>63176.67</v>
      </c>
      <c r="J180" s="1">
        <f>L180</f>
        <v>4.6865085972198982E-2</v>
      </c>
      <c r="K180">
        <v>930.55</v>
      </c>
      <c r="L180">
        <f t="shared" si="7"/>
        <v>4.6865085972198982E-2</v>
      </c>
    </row>
    <row r="181" spans="1:12" x14ac:dyDescent="0.2">
      <c r="A181">
        <v>259</v>
      </c>
      <c r="B181" t="s">
        <v>46</v>
      </c>
      <c r="C181">
        <v>2022</v>
      </c>
      <c r="D181">
        <v>613.54999999999995</v>
      </c>
      <c r="E181">
        <v>661.12</v>
      </c>
      <c r="F181">
        <v>812.91</v>
      </c>
      <c r="G181">
        <v>1094.79</v>
      </c>
      <c r="H181">
        <v>1310.52</v>
      </c>
      <c r="I181">
        <v>63176.67</v>
      </c>
      <c r="J181" s="1">
        <f>L181</f>
        <v>-3.43581752726883E-2</v>
      </c>
      <c r="K181">
        <v>898.57799999999997</v>
      </c>
      <c r="L181">
        <f t="shared" si="7"/>
        <v>-3.43581752726883E-2</v>
      </c>
    </row>
    <row r="182" spans="1:12" s="2" customFormat="1" x14ac:dyDescent="0.2">
      <c r="A182" s="2">
        <v>204</v>
      </c>
      <c r="B182" s="2" t="s">
        <v>47</v>
      </c>
      <c r="C182" s="2">
        <v>2018</v>
      </c>
      <c r="D182" s="2">
        <v>567.82000000000005</v>
      </c>
      <c r="E182" s="2">
        <v>685.24</v>
      </c>
      <c r="F182" s="2">
        <v>877.29</v>
      </c>
      <c r="G182" s="2">
        <v>1232.1199999999999</v>
      </c>
      <c r="H182" s="2">
        <v>1432.47</v>
      </c>
      <c r="I182" s="2">
        <v>158855.94</v>
      </c>
      <c r="J182" s="2">
        <v>0.08</v>
      </c>
      <c r="K182" s="2">
        <v>958.98800000000006</v>
      </c>
    </row>
    <row r="183" spans="1:12" x14ac:dyDescent="0.2">
      <c r="A183">
        <v>148</v>
      </c>
      <c r="B183" t="s">
        <v>47</v>
      </c>
      <c r="C183">
        <v>2019</v>
      </c>
      <c r="D183">
        <v>575.35</v>
      </c>
      <c r="E183">
        <v>695.53</v>
      </c>
      <c r="F183">
        <v>883.29</v>
      </c>
      <c r="G183">
        <v>1231.1199999999999</v>
      </c>
      <c r="H183">
        <v>1421.94</v>
      </c>
      <c r="I183">
        <v>158855.94</v>
      </c>
      <c r="J183">
        <v>0.01</v>
      </c>
      <c r="K183">
        <v>961.44600000000003</v>
      </c>
      <c r="L183">
        <f t="shared" si="7"/>
        <v>2.5631186208794794E-3</v>
      </c>
    </row>
    <row r="184" spans="1:12" x14ac:dyDescent="0.2">
      <c r="A184">
        <v>92</v>
      </c>
      <c r="B184" t="s">
        <v>47</v>
      </c>
      <c r="C184">
        <v>2020</v>
      </c>
      <c r="D184">
        <v>610.05999999999995</v>
      </c>
      <c r="E184">
        <v>710.47</v>
      </c>
      <c r="F184">
        <v>904.65</v>
      </c>
      <c r="G184">
        <v>1263.29</v>
      </c>
      <c r="H184">
        <v>1454.06</v>
      </c>
      <c r="I184">
        <v>169865.88</v>
      </c>
      <c r="J184">
        <v>0.02</v>
      </c>
      <c r="K184">
        <v>988.50599999999997</v>
      </c>
      <c r="L184">
        <f t="shared" si="7"/>
        <v>2.8145106433434704E-2</v>
      </c>
    </row>
    <row r="185" spans="1:12" x14ac:dyDescent="0.2">
      <c r="A185">
        <v>36</v>
      </c>
      <c r="B185" t="s">
        <v>47</v>
      </c>
      <c r="C185">
        <v>2021</v>
      </c>
      <c r="D185">
        <v>621.29</v>
      </c>
      <c r="E185">
        <v>721.06</v>
      </c>
      <c r="F185">
        <v>915.41</v>
      </c>
      <c r="G185">
        <v>1272.6500000000001</v>
      </c>
      <c r="H185">
        <v>1468.18</v>
      </c>
      <c r="I185">
        <v>169865.88</v>
      </c>
      <c r="J185" s="1">
        <f>L185</f>
        <v>1.1342369191487055E-2</v>
      </c>
      <c r="K185">
        <v>999.71799999999996</v>
      </c>
      <c r="L185">
        <f t="shared" si="7"/>
        <v>1.1342369191487055E-2</v>
      </c>
    </row>
    <row r="186" spans="1:12" x14ac:dyDescent="0.2">
      <c r="A186">
        <v>260</v>
      </c>
      <c r="B186" t="s">
        <v>47</v>
      </c>
      <c r="C186">
        <v>2022</v>
      </c>
      <c r="D186">
        <v>722.71</v>
      </c>
      <c r="E186">
        <v>833.41</v>
      </c>
      <c r="F186">
        <v>1068.3499999999999</v>
      </c>
      <c r="G186">
        <v>1453.65</v>
      </c>
      <c r="H186">
        <v>1711.88</v>
      </c>
      <c r="I186">
        <v>169865.88</v>
      </c>
      <c r="J186" s="1">
        <f>L186</f>
        <v>0.15832664811476826</v>
      </c>
      <c r="K186">
        <v>1158</v>
      </c>
      <c r="L186">
        <f t="shared" si="7"/>
        <v>0.15832664811476826</v>
      </c>
    </row>
    <row r="187" spans="1:12" s="2" customFormat="1" x14ac:dyDescent="0.2">
      <c r="A187" s="2">
        <v>205</v>
      </c>
      <c r="B187" s="2" t="s">
        <v>48</v>
      </c>
      <c r="C187" s="2">
        <v>2018</v>
      </c>
      <c r="D187" s="2">
        <v>753.37</v>
      </c>
      <c r="E187" s="2">
        <v>835.61</v>
      </c>
      <c r="F187" s="2">
        <v>1017.69</v>
      </c>
      <c r="G187" s="2">
        <v>1308.1099999999999</v>
      </c>
      <c r="H187" s="2">
        <v>1451.84</v>
      </c>
      <c r="I187" s="2">
        <v>312550.03000000003</v>
      </c>
      <c r="J187" s="2">
        <v>0.02</v>
      </c>
      <c r="K187" s="2">
        <v>1073.3240000000001</v>
      </c>
    </row>
    <row r="188" spans="1:12" x14ac:dyDescent="0.2">
      <c r="A188">
        <v>149</v>
      </c>
      <c r="B188" t="s">
        <v>48</v>
      </c>
      <c r="C188">
        <v>2019</v>
      </c>
      <c r="D188">
        <v>776.53</v>
      </c>
      <c r="E188">
        <v>856.9</v>
      </c>
      <c r="F188">
        <v>1044.02</v>
      </c>
      <c r="G188">
        <v>1339.84</v>
      </c>
      <c r="H188">
        <v>1478.71</v>
      </c>
      <c r="I188">
        <v>312550.03000000003</v>
      </c>
      <c r="J188">
        <v>0.03</v>
      </c>
      <c r="K188">
        <v>1099.2</v>
      </c>
      <c r="L188">
        <f t="shared" si="7"/>
        <v>2.4108284171415133E-2</v>
      </c>
    </row>
    <row r="189" spans="1:12" x14ac:dyDescent="0.2">
      <c r="A189">
        <v>93</v>
      </c>
      <c r="B189" t="s">
        <v>48</v>
      </c>
      <c r="C189">
        <v>2020</v>
      </c>
      <c r="D189">
        <v>805.92</v>
      </c>
      <c r="E189">
        <v>885.6</v>
      </c>
      <c r="F189">
        <v>1076.23</v>
      </c>
      <c r="G189">
        <v>1378.45</v>
      </c>
      <c r="H189">
        <v>1520.37</v>
      </c>
      <c r="I189">
        <v>319326.37</v>
      </c>
      <c r="J189">
        <v>0.03</v>
      </c>
      <c r="K189">
        <v>1133.3140000000001</v>
      </c>
      <c r="L189">
        <f t="shared" si="7"/>
        <v>3.1035298398835339E-2</v>
      </c>
    </row>
    <row r="190" spans="1:12" x14ac:dyDescent="0.2">
      <c r="A190">
        <v>37</v>
      </c>
      <c r="B190" t="s">
        <v>48</v>
      </c>
      <c r="C190">
        <v>2021</v>
      </c>
      <c r="D190">
        <v>846.08</v>
      </c>
      <c r="E190">
        <v>922.31</v>
      </c>
      <c r="F190">
        <v>1120.32</v>
      </c>
      <c r="G190">
        <v>1432.94</v>
      </c>
      <c r="H190">
        <v>1577.71</v>
      </c>
      <c r="I190">
        <v>319326.37</v>
      </c>
      <c r="J190" s="1">
        <f>L190</f>
        <v>4.1081289033754104E-2</v>
      </c>
      <c r="K190">
        <v>1179.8720000000001</v>
      </c>
      <c r="L190">
        <f t="shared" si="7"/>
        <v>4.1081289033754104E-2</v>
      </c>
    </row>
    <row r="191" spans="1:12" x14ac:dyDescent="0.2">
      <c r="A191">
        <v>261</v>
      </c>
      <c r="B191" t="s">
        <v>48</v>
      </c>
      <c r="C191">
        <v>2022</v>
      </c>
      <c r="D191">
        <v>863.6</v>
      </c>
      <c r="E191">
        <v>936.65</v>
      </c>
      <c r="F191">
        <v>1137.71</v>
      </c>
      <c r="G191">
        <v>1447.39</v>
      </c>
      <c r="H191">
        <v>1596.06</v>
      </c>
      <c r="I191">
        <v>319326.37</v>
      </c>
      <c r="J191" s="1">
        <f>L191</f>
        <v>1.3908288356703172E-2</v>
      </c>
      <c r="K191">
        <v>1196.2819999999999</v>
      </c>
      <c r="L191">
        <f t="shared" si="7"/>
        <v>1.3908288356703172E-2</v>
      </c>
    </row>
    <row r="192" spans="1:12" s="2" customFormat="1" x14ac:dyDescent="0.2">
      <c r="A192" s="2">
        <v>206</v>
      </c>
      <c r="B192" s="2" t="s">
        <v>49</v>
      </c>
      <c r="C192" s="2">
        <v>2018</v>
      </c>
      <c r="D192" s="2">
        <v>515.70000000000005</v>
      </c>
      <c r="E192" s="2">
        <v>582.91</v>
      </c>
      <c r="F192" s="2">
        <v>742.15</v>
      </c>
      <c r="G192" s="2">
        <v>979.78</v>
      </c>
      <c r="H192" s="2">
        <v>1093.6199999999999</v>
      </c>
      <c r="I192" s="2">
        <v>131096.64000000001</v>
      </c>
      <c r="J192" s="2">
        <v>0.01</v>
      </c>
      <c r="K192" s="2">
        <v>782.83199999999999</v>
      </c>
    </row>
    <row r="193" spans="1:12" x14ac:dyDescent="0.2">
      <c r="A193">
        <v>150</v>
      </c>
      <c r="B193" t="s">
        <v>49</v>
      </c>
      <c r="C193">
        <v>2019</v>
      </c>
      <c r="D193">
        <v>523.48</v>
      </c>
      <c r="E193">
        <v>588.88</v>
      </c>
      <c r="F193">
        <v>746.15</v>
      </c>
      <c r="G193">
        <v>979.59</v>
      </c>
      <c r="H193">
        <v>1092.3599999999999</v>
      </c>
      <c r="I193">
        <v>131096.64000000001</v>
      </c>
      <c r="J193">
        <v>0</v>
      </c>
      <c r="K193">
        <v>786.09199999999998</v>
      </c>
      <c r="L193">
        <f t="shared" si="7"/>
        <v>4.1643673227461202E-3</v>
      </c>
    </row>
    <row r="194" spans="1:12" x14ac:dyDescent="0.2">
      <c r="A194">
        <v>94</v>
      </c>
      <c r="B194" t="s">
        <v>49</v>
      </c>
      <c r="C194">
        <v>2020</v>
      </c>
      <c r="D194">
        <v>539.84</v>
      </c>
      <c r="E194">
        <v>603.52</v>
      </c>
      <c r="F194">
        <v>760.55</v>
      </c>
      <c r="G194">
        <v>992.42</v>
      </c>
      <c r="H194">
        <v>1107.1199999999999</v>
      </c>
      <c r="I194">
        <v>131929.15</v>
      </c>
      <c r="J194">
        <v>0.02</v>
      </c>
      <c r="K194">
        <v>800.69</v>
      </c>
      <c r="L194">
        <f t="shared" si="7"/>
        <v>1.8570345455748125E-2</v>
      </c>
    </row>
    <row r="195" spans="1:12" x14ac:dyDescent="0.2">
      <c r="A195">
        <v>38</v>
      </c>
      <c r="B195" t="s">
        <v>49</v>
      </c>
      <c r="C195">
        <v>2021</v>
      </c>
      <c r="D195">
        <v>570.95000000000005</v>
      </c>
      <c r="E195">
        <v>633.11</v>
      </c>
      <c r="F195">
        <v>796.74</v>
      </c>
      <c r="G195">
        <v>1036.3900000000001</v>
      </c>
      <c r="H195">
        <v>1151.1199999999999</v>
      </c>
      <c r="I195">
        <v>131929.15</v>
      </c>
      <c r="J195" s="1">
        <f>L195</f>
        <v>4.617517391250045E-2</v>
      </c>
      <c r="K195">
        <v>837.66200000000003</v>
      </c>
      <c r="L195">
        <f t="shared" si="7"/>
        <v>4.617517391250045E-2</v>
      </c>
    </row>
    <row r="196" spans="1:12" x14ac:dyDescent="0.2">
      <c r="A196">
        <v>262</v>
      </c>
      <c r="B196" t="s">
        <v>49</v>
      </c>
      <c r="C196">
        <v>2022</v>
      </c>
      <c r="D196">
        <v>580.05999999999995</v>
      </c>
      <c r="E196">
        <v>642.65</v>
      </c>
      <c r="F196">
        <v>807.18</v>
      </c>
      <c r="G196">
        <v>1045.82</v>
      </c>
      <c r="H196">
        <v>1158</v>
      </c>
      <c r="I196">
        <v>131929.15</v>
      </c>
      <c r="J196" s="1">
        <f>L196</f>
        <v>1.0839694291969843E-2</v>
      </c>
      <c r="K196">
        <v>846.74199999999996</v>
      </c>
      <c r="L196">
        <f t="shared" si="7"/>
        <v>1.0839694291969843E-2</v>
      </c>
    </row>
    <row r="197" spans="1:12" s="2" customFormat="1" x14ac:dyDescent="0.2">
      <c r="A197" s="2">
        <v>207</v>
      </c>
      <c r="B197" s="2" t="s">
        <v>50</v>
      </c>
      <c r="C197" s="2">
        <v>2018</v>
      </c>
      <c r="D197" s="2">
        <v>514.77</v>
      </c>
      <c r="E197" s="2">
        <v>579.55999999999995</v>
      </c>
      <c r="F197" s="2">
        <v>736.29</v>
      </c>
      <c r="G197" s="2">
        <v>981.66</v>
      </c>
      <c r="H197" s="2">
        <v>1124.26</v>
      </c>
      <c r="I197" s="2">
        <v>48718.84</v>
      </c>
      <c r="J197" s="2">
        <v>0.04</v>
      </c>
      <c r="K197" s="2">
        <v>787.30799999999999</v>
      </c>
    </row>
    <row r="198" spans="1:12" x14ac:dyDescent="0.2">
      <c r="A198">
        <v>151</v>
      </c>
      <c r="B198" t="s">
        <v>50</v>
      </c>
      <c r="C198">
        <v>2019</v>
      </c>
      <c r="D198">
        <v>520.54999999999995</v>
      </c>
      <c r="E198">
        <v>577.91999999999996</v>
      </c>
      <c r="F198">
        <v>732.51</v>
      </c>
      <c r="G198">
        <v>975.03</v>
      </c>
      <c r="H198">
        <v>1116.94</v>
      </c>
      <c r="I198">
        <v>48718.84</v>
      </c>
      <c r="J198">
        <v>-0.01</v>
      </c>
      <c r="K198">
        <v>784.59</v>
      </c>
      <c r="L198">
        <f t="shared" si="7"/>
        <v>-3.4522702677987197E-3</v>
      </c>
    </row>
    <row r="199" spans="1:12" x14ac:dyDescent="0.2">
      <c r="A199">
        <v>95</v>
      </c>
      <c r="B199" t="s">
        <v>50</v>
      </c>
      <c r="C199">
        <v>2020</v>
      </c>
      <c r="D199">
        <v>531.09</v>
      </c>
      <c r="E199">
        <v>576.41999999999996</v>
      </c>
      <c r="F199">
        <v>728.17</v>
      </c>
      <c r="G199">
        <v>964.86</v>
      </c>
      <c r="H199">
        <v>1103.22</v>
      </c>
      <c r="I199">
        <v>50600.84</v>
      </c>
      <c r="J199">
        <v>-0.01</v>
      </c>
      <c r="K199">
        <v>780.75199999999995</v>
      </c>
      <c r="L199">
        <f t="shared" si="7"/>
        <v>-4.8917268892030895E-3</v>
      </c>
    </row>
    <row r="200" spans="1:12" x14ac:dyDescent="0.2">
      <c r="A200">
        <v>39</v>
      </c>
      <c r="B200" t="s">
        <v>50</v>
      </c>
      <c r="C200">
        <v>2021</v>
      </c>
      <c r="D200">
        <v>568.74</v>
      </c>
      <c r="E200">
        <v>601.47</v>
      </c>
      <c r="F200">
        <v>762.42</v>
      </c>
      <c r="G200">
        <v>1004.62</v>
      </c>
      <c r="H200">
        <v>1149.06</v>
      </c>
      <c r="I200">
        <v>50600.84</v>
      </c>
      <c r="J200" s="1">
        <f>L200</f>
        <v>4.6762608357070967E-2</v>
      </c>
      <c r="K200">
        <v>817.26199999999994</v>
      </c>
      <c r="L200">
        <f t="shared" si="7"/>
        <v>4.6762608357070967E-2</v>
      </c>
    </row>
    <row r="201" spans="1:12" x14ac:dyDescent="0.2">
      <c r="A201">
        <v>263</v>
      </c>
      <c r="B201" t="s">
        <v>50</v>
      </c>
      <c r="C201">
        <v>2022</v>
      </c>
      <c r="D201">
        <v>585.04999999999995</v>
      </c>
      <c r="E201">
        <v>612.54999999999995</v>
      </c>
      <c r="F201">
        <v>776.36</v>
      </c>
      <c r="G201">
        <v>1021.74</v>
      </c>
      <c r="H201">
        <v>1167.77</v>
      </c>
      <c r="I201">
        <v>50600.84</v>
      </c>
      <c r="J201" s="1">
        <f>L201</f>
        <v>1.8882561528616164E-2</v>
      </c>
      <c r="K201">
        <v>832.69399999999996</v>
      </c>
      <c r="L201">
        <f t="shared" si="7"/>
        <v>1.8882561528616164E-2</v>
      </c>
    </row>
    <row r="202" spans="1:12" s="2" customFormat="1" x14ac:dyDescent="0.2">
      <c r="A202" s="2">
        <v>208</v>
      </c>
      <c r="B202" s="2" t="s">
        <v>51</v>
      </c>
      <c r="C202" s="2">
        <v>2018</v>
      </c>
      <c r="D202" s="2">
        <v>617.33000000000004</v>
      </c>
      <c r="E202" s="2">
        <v>709.58</v>
      </c>
      <c r="F202" s="2">
        <v>890.61</v>
      </c>
      <c r="G202" s="2">
        <v>1268.72</v>
      </c>
      <c r="H202" s="2">
        <v>1496.86</v>
      </c>
      <c r="I202" s="2">
        <v>106418.72</v>
      </c>
      <c r="J202" s="2">
        <v>7.0000000000000007E-2</v>
      </c>
      <c r="K202" s="2">
        <v>996.62</v>
      </c>
    </row>
    <row r="203" spans="1:12" x14ac:dyDescent="0.2">
      <c r="A203">
        <v>152</v>
      </c>
      <c r="B203" t="s">
        <v>51</v>
      </c>
      <c r="C203">
        <v>2019</v>
      </c>
      <c r="D203">
        <v>650.14</v>
      </c>
      <c r="E203">
        <v>748.69</v>
      </c>
      <c r="F203">
        <v>935.36</v>
      </c>
      <c r="G203">
        <v>1330.08</v>
      </c>
      <c r="H203">
        <v>1563.83</v>
      </c>
      <c r="I203">
        <v>106418.72</v>
      </c>
      <c r="J203">
        <v>0.05</v>
      </c>
      <c r="K203">
        <v>1045.6199999999999</v>
      </c>
      <c r="L203">
        <f t="shared" ref="L202:L265" si="8">((AVERAGE(D203:H203))-(AVERAGE(D202:H202)))/(AVERAGE(D202:H202))</f>
        <v>4.9166181694126378E-2</v>
      </c>
    </row>
    <row r="204" spans="1:12" x14ac:dyDescent="0.2">
      <c r="A204">
        <v>96</v>
      </c>
      <c r="B204" t="s">
        <v>51</v>
      </c>
      <c r="C204">
        <v>2020</v>
      </c>
      <c r="D204">
        <v>718.53</v>
      </c>
      <c r="E204">
        <v>820.28</v>
      </c>
      <c r="F204">
        <v>1021.92</v>
      </c>
      <c r="G204">
        <v>1451.14</v>
      </c>
      <c r="H204">
        <v>1703.53</v>
      </c>
      <c r="I204">
        <v>111808.75</v>
      </c>
      <c r="J204">
        <v>0.1</v>
      </c>
      <c r="K204">
        <v>1143.08</v>
      </c>
      <c r="L204">
        <f t="shared" si="8"/>
        <v>9.3207857539067532E-2</v>
      </c>
    </row>
    <row r="205" spans="1:12" x14ac:dyDescent="0.2">
      <c r="A205">
        <v>40</v>
      </c>
      <c r="B205" t="s">
        <v>51</v>
      </c>
      <c r="C205">
        <v>2021</v>
      </c>
      <c r="D205">
        <v>743.94</v>
      </c>
      <c r="E205">
        <v>843.47</v>
      </c>
      <c r="F205">
        <v>1052.56</v>
      </c>
      <c r="G205">
        <v>1485.14</v>
      </c>
      <c r="H205">
        <v>1754.53</v>
      </c>
      <c r="I205">
        <v>111808.75</v>
      </c>
      <c r="J205" s="1">
        <f>L205</f>
        <v>2.8736396402701637E-2</v>
      </c>
      <c r="K205">
        <v>1175.9280000000001</v>
      </c>
      <c r="L205">
        <f t="shared" si="8"/>
        <v>2.8736396402701637E-2</v>
      </c>
    </row>
    <row r="206" spans="1:12" x14ac:dyDescent="0.2">
      <c r="A206">
        <v>264</v>
      </c>
      <c r="B206" t="s">
        <v>51</v>
      </c>
      <c r="C206">
        <v>2022</v>
      </c>
      <c r="D206">
        <v>770.25</v>
      </c>
      <c r="E206">
        <v>870.72</v>
      </c>
      <c r="F206">
        <v>1087.1099999999999</v>
      </c>
      <c r="G206">
        <v>1525.28</v>
      </c>
      <c r="H206">
        <v>1800.83</v>
      </c>
      <c r="I206">
        <v>111808.75</v>
      </c>
      <c r="J206" s="1">
        <f>L206</f>
        <v>2.9687191732827054E-2</v>
      </c>
      <c r="K206">
        <v>1210.838</v>
      </c>
      <c r="L206">
        <f t="shared" si="8"/>
        <v>2.9687191732827054E-2</v>
      </c>
    </row>
    <row r="207" spans="1:12" s="2" customFormat="1" x14ac:dyDescent="0.2">
      <c r="A207" s="2">
        <v>209</v>
      </c>
      <c r="B207" s="2" t="s">
        <v>52</v>
      </c>
      <c r="C207" s="2">
        <v>2018</v>
      </c>
      <c r="D207" s="2">
        <v>611.57000000000005</v>
      </c>
      <c r="E207" s="2">
        <v>683.34</v>
      </c>
      <c r="F207" s="2">
        <v>851.24</v>
      </c>
      <c r="G207" s="2">
        <v>1100.76</v>
      </c>
      <c r="H207" s="2">
        <v>1212.97</v>
      </c>
      <c r="I207" s="2">
        <v>189587.75</v>
      </c>
      <c r="J207" s="2">
        <v>0.03</v>
      </c>
      <c r="K207" s="2">
        <v>891.976</v>
      </c>
    </row>
    <row r="208" spans="1:12" x14ac:dyDescent="0.2">
      <c r="A208">
        <v>153</v>
      </c>
      <c r="B208" t="s">
        <v>52</v>
      </c>
      <c r="C208">
        <v>2019</v>
      </c>
      <c r="D208">
        <v>613.13</v>
      </c>
      <c r="E208">
        <v>682.85</v>
      </c>
      <c r="F208">
        <v>851.64</v>
      </c>
      <c r="G208">
        <v>1101.6300000000001</v>
      </c>
      <c r="H208">
        <v>1215.3699999999999</v>
      </c>
      <c r="I208">
        <v>189587.75</v>
      </c>
      <c r="J208">
        <v>0</v>
      </c>
      <c r="K208">
        <v>892.92399999999998</v>
      </c>
      <c r="L208">
        <f t="shared" si="8"/>
        <v>1.0628088648124826E-3</v>
      </c>
    </row>
    <row r="209" spans="1:12" x14ac:dyDescent="0.2">
      <c r="A209">
        <v>97</v>
      </c>
      <c r="B209" t="s">
        <v>52</v>
      </c>
      <c r="C209">
        <v>2020</v>
      </c>
      <c r="D209">
        <v>616.05999999999995</v>
      </c>
      <c r="E209">
        <v>683.73</v>
      </c>
      <c r="F209">
        <v>849.57</v>
      </c>
      <c r="G209">
        <v>1098.52</v>
      </c>
      <c r="H209">
        <v>1216.8699999999999</v>
      </c>
      <c r="I209">
        <v>190902.76</v>
      </c>
      <c r="J209">
        <v>0</v>
      </c>
      <c r="K209">
        <v>892.95</v>
      </c>
      <c r="L209">
        <f t="shared" si="8"/>
        <v>2.911781965773941E-5</v>
      </c>
    </row>
    <row r="210" spans="1:12" x14ac:dyDescent="0.2">
      <c r="A210">
        <v>41</v>
      </c>
      <c r="B210" t="s">
        <v>52</v>
      </c>
      <c r="C210">
        <v>2021</v>
      </c>
      <c r="D210">
        <v>643.28</v>
      </c>
      <c r="E210">
        <v>705.9</v>
      </c>
      <c r="F210">
        <v>877.78</v>
      </c>
      <c r="G210">
        <v>1132.69</v>
      </c>
      <c r="H210">
        <v>1258.1600000000001</v>
      </c>
      <c r="I210">
        <v>190902.76</v>
      </c>
      <c r="J210" s="1">
        <f>L210</f>
        <v>3.4281874685032847E-2</v>
      </c>
      <c r="K210">
        <v>923.56200000000001</v>
      </c>
      <c r="L210">
        <f t="shared" si="8"/>
        <v>3.4281874685032847E-2</v>
      </c>
    </row>
    <row r="211" spans="1:12" x14ac:dyDescent="0.2">
      <c r="A211">
        <v>265</v>
      </c>
      <c r="B211" t="s">
        <v>52</v>
      </c>
      <c r="C211">
        <v>2022</v>
      </c>
      <c r="D211">
        <v>677.3</v>
      </c>
      <c r="E211">
        <v>740.51</v>
      </c>
      <c r="F211">
        <v>920.48</v>
      </c>
      <c r="G211">
        <v>1181.22</v>
      </c>
      <c r="H211">
        <v>1322.46</v>
      </c>
      <c r="I211">
        <v>190902.76</v>
      </c>
      <c r="J211" s="1">
        <f>L211</f>
        <v>4.8542490921020864E-2</v>
      </c>
      <c r="K211">
        <v>968.39400000000001</v>
      </c>
      <c r="L211">
        <f t="shared" si="8"/>
        <v>4.8542490921020864E-2</v>
      </c>
    </row>
    <row r="212" spans="1:12" s="2" customFormat="1" x14ac:dyDescent="0.2">
      <c r="A212" s="2">
        <v>210</v>
      </c>
      <c r="B212" s="2" t="s">
        <v>53</v>
      </c>
      <c r="C212" s="2">
        <v>2018</v>
      </c>
      <c r="D212" s="2">
        <v>365.29</v>
      </c>
      <c r="E212" s="2">
        <v>383.55</v>
      </c>
      <c r="F212" s="2">
        <v>455.95</v>
      </c>
      <c r="G212" s="2">
        <v>610.64</v>
      </c>
      <c r="H212" s="2">
        <v>735.51</v>
      </c>
      <c r="I212" s="2">
        <v>47766.53</v>
      </c>
      <c r="J212" s="2">
        <v>-0.06</v>
      </c>
      <c r="K212" s="2">
        <v>510.18799999999999</v>
      </c>
    </row>
    <row r="213" spans="1:12" x14ac:dyDescent="0.2">
      <c r="A213">
        <v>154</v>
      </c>
      <c r="B213" t="s">
        <v>53</v>
      </c>
      <c r="C213">
        <v>2019</v>
      </c>
      <c r="D213">
        <v>384.03</v>
      </c>
      <c r="E213">
        <v>403.41</v>
      </c>
      <c r="F213">
        <v>476.33</v>
      </c>
      <c r="G213">
        <v>639.65</v>
      </c>
      <c r="H213">
        <v>772.31</v>
      </c>
      <c r="I213">
        <v>47766.53</v>
      </c>
      <c r="J213">
        <v>0.05</v>
      </c>
      <c r="K213">
        <v>535.14599999999996</v>
      </c>
      <c r="L213">
        <f t="shared" si="8"/>
        <v>4.8919221933875413E-2</v>
      </c>
    </row>
    <row r="214" spans="1:12" x14ac:dyDescent="0.2">
      <c r="A214">
        <v>98</v>
      </c>
      <c r="B214" t="s">
        <v>53</v>
      </c>
      <c r="C214">
        <v>2020</v>
      </c>
      <c r="D214">
        <v>379.08</v>
      </c>
      <c r="E214">
        <v>402.26</v>
      </c>
      <c r="F214">
        <v>466.58</v>
      </c>
      <c r="G214">
        <v>623.72</v>
      </c>
      <c r="H214">
        <v>743.97</v>
      </c>
      <c r="I214">
        <v>44474.04</v>
      </c>
      <c r="J214">
        <v>-0.02</v>
      </c>
      <c r="K214">
        <v>523.12199999999996</v>
      </c>
      <c r="L214">
        <f t="shared" si="8"/>
        <v>-2.2468634727719167E-2</v>
      </c>
    </row>
    <row r="215" spans="1:12" x14ac:dyDescent="0.2">
      <c r="A215">
        <v>42</v>
      </c>
      <c r="B215" t="s">
        <v>53</v>
      </c>
      <c r="C215">
        <v>2021</v>
      </c>
      <c r="D215">
        <v>391.82</v>
      </c>
      <c r="E215">
        <v>419.51</v>
      </c>
      <c r="F215">
        <v>482.58</v>
      </c>
      <c r="G215">
        <v>643.28</v>
      </c>
      <c r="H215">
        <v>765.41</v>
      </c>
      <c r="I215">
        <v>44474.04</v>
      </c>
      <c r="J215" s="1">
        <f>L215</f>
        <v>3.32580162944782E-2</v>
      </c>
      <c r="K215">
        <v>540.52</v>
      </c>
      <c r="L215">
        <f t="shared" si="8"/>
        <v>3.32580162944782E-2</v>
      </c>
    </row>
    <row r="216" spans="1:12" x14ac:dyDescent="0.2">
      <c r="A216">
        <v>266</v>
      </c>
      <c r="B216" t="s">
        <v>53</v>
      </c>
      <c r="C216">
        <v>2022</v>
      </c>
      <c r="D216">
        <v>400</v>
      </c>
      <c r="E216">
        <v>423.01</v>
      </c>
      <c r="F216">
        <v>485.42</v>
      </c>
      <c r="G216">
        <v>646.17999999999995</v>
      </c>
      <c r="H216">
        <v>759.67</v>
      </c>
      <c r="I216">
        <v>44474.04</v>
      </c>
      <c r="J216" s="1">
        <f>L216</f>
        <v>4.3217642270406515E-3</v>
      </c>
      <c r="K216">
        <v>542.85599999999999</v>
      </c>
      <c r="L216">
        <f t="shared" si="8"/>
        <v>4.3217642270406515E-3</v>
      </c>
    </row>
    <row r="217" spans="1:12" s="2" customFormat="1" x14ac:dyDescent="0.2">
      <c r="A217" s="2">
        <v>211</v>
      </c>
      <c r="B217" s="2" t="s">
        <v>54</v>
      </c>
      <c r="C217" s="2">
        <v>2018</v>
      </c>
      <c r="D217" s="2">
        <v>762.31</v>
      </c>
      <c r="E217" s="2">
        <v>864.08</v>
      </c>
      <c r="F217" s="2">
        <v>1047.54</v>
      </c>
      <c r="G217" s="2">
        <v>1342.15</v>
      </c>
      <c r="H217" s="2">
        <v>1591.62</v>
      </c>
      <c r="I217" s="2">
        <v>26988.9</v>
      </c>
      <c r="J217" s="2">
        <v>0.02</v>
      </c>
      <c r="K217" s="2">
        <v>1121.54</v>
      </c>
    </row>
    <row r="218" spans="1:12" x14ac:dyDescent="0.2">
      <c r="A218">
        <v>155</v>
      </c>
      <c r="B218" t="s">
        <v>54</v>
      </c>
      <c r="C218">
        <v>2019</v>
      </c>
      <c r="D218">
        <v>802.15</v>
      </c>
      <c r="E218">
        <v>903.38</v>
      </c>
      <c r="F218">
        <v>1093.3800000000001</v>
      </c>
      <c r="G218">
        <v>1403.08</v>
      </c>
      <c r="H218">
        <v>1642</v>
      </c>
      <c r="I218">
        <v>26988.9</v>
      </c>
      <c r="J218">
        <v>0.04</v>
      </c>
      <c r="K218">
        <v>1168.798</v>
      </c>
      <c r="L218">
        <f t="shared" si="8"/>
        <v>4.2136704887921997E-2</v>
      </c>
    </row>
    <row r="219" spans="1:12" x14ac:dyDescent="0.2">
      <c r="A219">
        <v>99</v>
      </c>
      <c r="B219" t="s">
        <v>54</v>
      </c>
      <c r="C219">
        <v>2020</v>
      </c>
      <c r="D219">
        <v>811.92</v>
      </c>
      <c r="E219">
        <v>911.15</v>
      </c>
      <c r="F219">
        <v>1107.54</v>
      </c>
      <c r="G219">
        <v>1415.23</v>
      </c>
      <c r="H219">
        <v>1662.62</v>
      </c>
      <c r="I219">
        <v>27080.9</v>
      </c>
      <c r="J219">
        <v>0.01</v>
      </c>
      <c r="K219">
        <v>1181.692</v>
      </c>
      <c r="L219">
        <f t="shared" si="8"/>
        <v>1.1031846392618746E-2</v>
      </c>
    </row>
    <row r="220" spans="1:12" x14ac:dyDescent="0.2">
      <c r="A220">
        <v>43</v>
      </c>
      <c r="B220" t="s">
        <v>54</v>
      </c>
      <c r="C220">
        <v>2021</v>
      </c>
      <c r="D220">
        <v>867.85</v>
      </c>
      <c r="E220">
        <v>968.85</v>
      </c>
      <c r="F220">
        <v>1177.3800000000001</v>
      </c>
      <c r="G220">
        <v>1498.08</v>
      </c>
      <c r="H220">
        <v>1791.62</v>
      </c>
      <c r="I220">
        <v>27080.9</v>
      </c>
      <c r="J220" s="1">
        <f>L220</f>
        <v>6.6907451349420874E-2</v>
      </c>
      <c r="K220">
        <v>1260.7560000000001</v>
      </c>
      <c r="L220">
        <f t="shared" si="8"/>
        <v>6.6907451349420874E-2</v>
      </c>
    </row>
    <row r="221" spans="1:12" x14ac:dyDescent="0.2">
      <c r="A221">
        <v>267</v>
      </c>
      <c r="B221" t="s">
        <v>54</v>
      </c>
      <c r="C221">
        <v>2022</v>
      </c>
      <c r="D221">
        <v>940.62</v>
      </c>
      <c r="E221">
        <v>1050.31</v>
      </c>
      <c r="F221">
        <v>1272.1500000000001</v>
      </c>
      <c r="G221">
        <v>1604.15</v>
      </c>
      <c r="H221">
        <v>1970.85</v>
      </c>
      <c r="I221">
        <v>27080.9</v>
      </c>
      <c r="J221" s="1">
        <f>L221</f>
        <v>8.47586686083589E-2</v>
      </c>
      <c r="K221">
        <v>1367.616</v>
      </c>
      <c r="L221">
        <f t="shared" si="8"/>
        <v>8.47586686083589E-2</v>
      </c>
    </row>
    <row r="222" spans="1:12" s="2" customFormat="1" x14ac:dyDescent="0.2">
      <c r="A222" s="2">
        <v>212</v>
      </c>
      <c r="B222" s="2" t="s">
        <v>55</v>
      </c>
      <c r="C222" s="2">
        <v>2018</v>
      </c>
      <c r="D222" s="2">
        <v>566.5</v>
      </c>
      <c r="E222" s="2">
        <v>633.09</v>
      </c>
      <c r="F222" s="2">
        <v>771.3</v>
      </c>
      <c r="G222" s="2">
        <v>1024.1300000000001</v>
      </c>
      <c r="H222" s="2">
        <v>1191.6300000000001</v>
      </c>
      <c r="I222" s="2">
        <v>100551.39</v>
      </c>
      <c r="J222" s="2">
        <v>0.01</v>
      </c>
      <c r="K222" s="2">
        <v>837.33</v>
      </c>
    </row>
    <row r="223" spans="1:12" x14ac:dyDescent="0.2">
      <c r="A223">
        <v>156</v>
      </c>
      <c r="B223" t="s">
        <v>55</v>
      </c>
      <c r="C223">
        <v>2019</v>
      </c>
      <c r="D223">
        <v>605.74</v>
      </c>
      <c r="E223">
        <v>665.96</v>
      </c>
      <c r="F223">
        <v>805.8</v>
      </c>
      <c r="G223">
        <v>1070.5</v>
      </c>
      <c r="H223">
        <v>1252.46</v>
      </c>
      <c r="I223">
        <v>100551.39</v>
      </c>
      <c r="J223">
        <v>0.04</v>
      </c>
      <c r="K223">
        <v>880.09199999999998</v>
      </c>
      <c r="L223">
        <f t="shared" si="8"/>
        <v>5.1069470817956868E-2</v>
      </c>
    </row>
    <row r="224" spans="1:12" x14ac:dyDescent="0.2">
      <c r="A224">
        <v>100</v>
      </c>
      <c r="B224" t="s">
        <v>55</v>
      </c>
      <c r="C224">
        <v>2020</v>
      </c>
      <c r="D224">
        <v>610.11</v>
      </c>
      <c r="E224">
        <v>657.37</v>
      </c>
      <c r="F224">
        <v>788.39</v>
      </c>
      <c r="G224">
        <v>1043.8900000000001</v>
      </c>
      <c r="H224">
        <v>1230.9100000000001</v>
      </c>
      <c r="I224">
        <v>106379.02</v>
      </c>
      <c r="J224">
        <v>-0.02</v>
      </c>
      <c r="K224">
        <v>866.13400000000001</v>
      </c>
      <c r="L224">
        <f t="shared" si="8"/>
        <v>-1.5859705576235179E-2</v>
      </c>
    </row>
    <row r="225" spans="1:12" x14ac:dyDescent="0.2">
      <c r="A225">
        <v>44</v>
      </c>
      <c r="B225" t="s">
        <v>55</v>
      </c>
      <c r="C225">
        <v>2021</v>
      </c>
      <c r="D225">
        <v>653.09</v>
      </c>
      <c r="E225">
        <v>685.83</v>
      </c>
      <c r="F225">
        <v>824.24</v>
      </c>
      <c r="G225">
        <v>1085.78</v>
      </c>
      <c r="H225">
        <v>1283.22</v>
      </c>
      <c r="I225">
        <v>106379.02</v>
      </c>
      <c r="J225" s="1">
        <f>L225</f>
        <v>4.6526288080135404E-2</v>
      </c>
      <c r="K225">
        <v>906.43200000000002</v>
      </c>
      <c r="L225">
        <f t="shared" si="8"/>
        <v>4.6526288080135404E-2</v>
      </c>
    </row>
    <row r="226" spans="1:12" x14ac:dyDescent="0.2">
      <c r="A226">
        <v>268</v>
      </c>
      <c r="B226" t="s">
        <v>55</v>
      </c>
      <c r="C226">
        <v>2022</v>
      </c>
      <c r="D226">
        <v>695.83</v>
      </c>
      <c r="E226">
        <v>723.85</v>
      </c>
      <c r="F226">
        <v>867.35</v>
      </c>
      <c r="G226">
        <v>1130.1500000000001</v>
      </c>
      <c r="H226">
        <v>1337.28</v>
      </c>
      <c r="I226">
        <v>106379.02</v>
      </c>
      <c r="J226" s="1">
        <f>L226</f>
        <v>4.9049459860199152E-2</v>
      </c>
      <c r="K226">
        <v>950.89200000000005</v>
      </c>
      <c r="L226">
        <f t="shared" si="8"/>
        <v>4.9049459860199152E-2</v>
      </c>
    </row>
    <row r="227" spans="1:12" s="2" customFormat="1" x14ac:dyDescent="0.2">
      <c r="A227" s="2">
        <v>213</v>
      </c>
      <c r="B227" s="2" t="s">
        <v>56</v>
      </c>
      <c r="C227" s="2">
        <v>2018</v>
      </c>
      <c r="D227" s="2">
        <v>464.97</v>
      </c>
      <c r="E227" s="2">
        <v>540.97</v>
      </c>
      <c r="F227" s="2">
        <v>692.18</v>
      </c>
      <c r="G227" s="2">
        <v>928.27</v>
      </c>
      <c r="H227" s="2">
        <v>1017.33</v>
      </c>
      <c r="I227" s="2">
        <v>12336.06</v>
      </c>
      <c r="J227" s="2">
        <v>0.02</v>
      </c>
      <c r="K227" s="2">
        <v>728.74400000000003</v>
      </c>
    </row>
    <row r="228" spans="1:12" x14ac:dyDescent="0.2">
      <c r="A228">
        <v>157</v>
      </c>
      <c r="B228" t="s">
        <v>56</v>
      </c>
      <c r="C228">
        <v>2019</v>
      </c>
      <c r="D228">
        <v>492.86</v>
      </c>
      <c r="E228">
        <v>575.02</v>
      </c>
      <c r="F228">
        <v>734.65</v>
      </c>
      <c r="G228">
        <v>983.42</v>
      </c>
      <c r="H228">
        <v>1099.73</v>
      </c>
      <c r="I228">
        <v>12336.06</v>
      </c>
      <c r="J228">
        <v>0.06</v>
      </c>
      <c r="K228">
        <v>777.13599999999997</v>
      </c>
      <c r="L228">
        <f t="shared" si="8"/>
        <v>6.6404663366010794E-2</v>
      </c>
    </row>
    <row r="229" spans="1:12" x14ac:dyDescent="0.2">
      <c r="A229">
        <v>101</v>
      </c>
      <c r="B229" t="s">
        <v>56</v>
      </c>
      <c r="C229">
        <v>2020</v>
      </c>
      <c r="D229">
        <v>512.21</v>
      </c>
      <c r="E229">
        <v>582.94000000000005</v>
      </c>
      <c r="F229">
        <v>748.3</v>
      </c>
      <c r="G229">
        <v>992.06</v>
      </c>
      <c r="H229">
        <v>1146.29</v>
      </c>
      <c r="I229">
        <v>12961.21</v>
      </c>
      <c r="J229">
        <v>0.02</v>
      </c>
      <c r="K229">
        <v>796.36</v>
      </c>
      <c r="L229">
        <f t="shared" si="8"/>
        <v>2.4736982973379087E-2</v>
      </c>
    </row>
    <row r="230" spans="1:12" x14ac:dyDescent="0.2">
      <c r="A230">
        <v>45</v>
      </c>
      <c r="B230" t="s">
        <v>56</v>
      </c>
      <c r="C230">
        <v>2021</v>
      </c>
      <c r="D230">
        <v>522.65</v>
      </c>
      <c r="E230">
        <v>581.77</v>
      </c>
      <c r="F230">
        <v>747.55</v>
      </c>
      <c r="G230">
        <v>988.98</v>
      </c>
      <c r="H230">
        <v>1159.8900000000001</v>
      </c>
      <c r="I230">
        <v>12961.21</v>
      </c>
      <c r="J230" s="1">
        <f>L230</f>
        <v>4.7817569943241654E-3</v>
      </c>
      <c r="K230">
        <v>800.16800000000001</v>
      </c>
      <c r="L230">
        <f t="shared" si="8"/>
        <v>4.7817569943241654E-3</v>
      </c>
    </row>
    <row r="231" spans="1:12" x14ac:dyDescent="0.2">
      <c r="A231">
        <v>269</v>
      </c>
      <c r="B231" t="s">
        <v>56</v>
      </c>
      <c r="C231">
        <v>2022</v>
      </c>
      <c r="D231">
        <v>559.91</v>
      </c>
      <c r="E231">
        <v>613.16999999999996</v>
      </c>
      <c r="F231">
        <v>785.95</v>
      </c>
      <c r="G231">
        <v>1038.26</v>
      </c>
      <c r="H231">
        <v>1242.23</v>
      </c>
      <c r="I231">
        <v>12961.21</v>
      </c>
      <c r="J231" s="1">
        <f>L231</f>
        <v>5.9657471930894643E-2</v>
      </c>
      <c r="K231">
        <v>847.904</v>
      </c>
      <c r="L231">
        <f t="shared" si="8"/>
        <v>5.9657471930894643E-2</v>
      </c>
    </row>
    <row r="232" spans="1:12" s="2" customFormat="1" x14ac:dyDescent="0.2">
      <c r="A232" s="2">
        <v>214</v>
      </c>
      <c r="B232" s="2" t="s">
        <v>57</v>
      </c>
      <c r="C232" s="2">
        <v>2018</v>
      </c>
      <c r="D232" s="2">
        <v>509.09</v>
      </c>
      <c r="E232" s="2">
        <v>565.45000000000005</v>
      </c>
      <c r="F232" s="2">
        <v>706.95</v>
      </c>
      <c r="G232" s="2">
        <v>940.6</v>
      </c>
      <c r="H232" s="2">
        <v>1088.22</v>
      </c>
      <c r="I232" s="2">
        <v>66801.11</v>
      </c>
      <c r="J232" s="2">
        <v>0.02</v>
      </c>
      <c r="K232" s="2">
        <v>762.06200000000001</v>
      </c>
    </row>
    <row r="233" spans="1:12" x14ac:dyDescent="0.2">
      <c r="A233">
        <v>158</v>
      </c>
      <c r="B233" t="s">
        <v>57</v>
      </c>
      <c r="C233">
        <v>2019</v>
      </c>
      <c r="D233">
        <v>530.35</v>
      </c>
      <c r="E233">
        <v>586.64</v>
      </c>
      <c r="F233">
        <v>729.19</v>
      </c>
      <c r="G233">
        <v>967.27</v>
      </c>
      <c r="H233">
        <v>1122.69</v>
      </c>
      <c r="I233">
        <v>66801.11</v>
      </c>
      <c r="J233">
        <v>0.03</v>
      </c>
      <c r="K233">
        <v>787.22799999999995</v>
      </c>
      <c r="L233">
        <f t="shared" si="8"/>
        <v>3.3023559762853705E-2</v>
      </c>
    </row>
    <row r="234" spans="1:12" x14ac:dyDescent="0.2">
      <c r="A234">
        <v>102</v>
      </c>
      <c r="B234" t="s">
        <v>57</v>
      </c>
      <c r="C234">
        <v>2020</v>
      </c>
      <c r="D234">
        <v>564.87</v>
      </c>
      <c r="E234">
        <v>610.89</v>
      </c>
      <c r="F234">
        <v>756.66</v>
      </c>
      <c r="G234">
        <v>1002.17</v>
      </c>
      <c r="H234">
        <v>1168.22</v>
      </c>
      <c r="I234">
        <v>69446.210000000006</v>
      </c>
      <c r="J234">
        <v>0.04</v>
      </c>
      <c r="K234">
        <v>820.56200000000001</v>
      </c>
      <c r="L234">
        <f t="shared" si="8"/>
        <v>4.2343514204271411E-2</v>
      </c>
    </row>
    <row r="235" spans="1:12" x14ac:dyDescent="0.2">
      <c r="A235">
        <v>46</v>
      </c>
      <c r="B235" t="s">
        <v>57</v>
      </c>
      <c r="C235">
        <v>2021</v>
      </c>
      <c r="D235">
        <v>588.03</v>
      </c>
      <c r="E235">
        <v>625.39</v>
      </c>
      <c r="F235">
        <v>773.84</v>
      </c>
      <c r="G235">
        <v>1022.08</v>
      </c>
      <c r="H235">
        <v>1188.01</v>
      </c>
      <c r="I235">
        <v>69446.210000000006</v>
      </c>
      <c r="J235" s="1">
        <f>L235</f>
        <v>2.3042743875538837E-2</v>
      </c>
      <c r="K235">
        <v>839.47</v>
      </c>
      <c r="L235">
        <f t="shared" si="8"/>
        <v>2.3042743875538837E-2</v>
      </c>
    </row>
    <row r="236" spans="1:12" x14ac:dyDescent="0.2">
      <c r="A236">
        <v>270</v>
      </c>
      <c r="B236" t="s">
        <v>57</v>
      </c>
      <c r="C236">
        <v>2022</v>
      </c>
      <c r="D236">
        <v>618.80999999999995</v>
      </c>
      <c r="E236">
        <v>649.97</v>
      </c>
      <c r="F236">
        <v>798.46</v>
      </c>
      <c r="G236">
        <v>1048.32</v>
      </c>
      <c r="H236">
        <v>1211.24</v>
      </c>
      <c r="I236">
        <v>69446.210000000006</v>
      </c>
      <c r="J236" s="1">
        <f>L236</f>
        <v>3.0840887702955285E-2</v>
      </c>
      <c r="K236">
        <v>865.36</v>
      </c>
      <c r="L236">
        <f t="shared" si="8"/>
        <v>3.0840887702955285E-2</v>
      </c>
    </row>
    <row r="237" spans="1:12" s="2" customFormat="1" x14ac:dyDescent="0.2">
      <c r="A237" s="2">
        <v>215</v>
      </c>
      <c r="B237" s="2" t="s">
        <v>58</v>
      </c>
      <c r="C237" s="2">
        <v>2018</v>
      </c>
      <c r="D237" s="2">
        <v>584.66999999999996</v>
      </c>
      <c r="E237" s="2">
        <v>641.19000000000005</v>
      </c>
      <c r="F237" s="2">
        <v>803.2</v>
      </c>
      <c r="G237" s="2">
        <v>1076.75</v>
      </c>
      <c r="H237" s="2">
        <v>1275.26</v>
      </c>
      <c r="I237" s="2">
        <v>98998.27</v>
      </c>
      <c r="J237" s="2">
        <v>0.02</v>
      </c>
      <c r="K237" s="2">
        <v>876.21400000000006</v>
      </c>
    </row>
    <row r="238" spans="1:12" x14ac:dyDescent="0.2">
      <c r="A238">
        <v>159</v>
      </c>
      <c r="B238" t="s">
        <v>58</v>
      </c>
      <c r="C238">
        <v>2019</v>
      </c>
      <c r="D238">
        <v>601.07000000000005</v>
      </c>
      <c r="E238">
        <v>659.93</v>
      </c>
      <c r="F238">
        <v>822.41</v>
      </c>
      <c r="G238">
        <v>1098.48</v>
      </c>
      <c r="H238">
        <v>1299.08</v>
      </c>
      <c r="I238">
        <v>98998.27</v>
      </c>
      <c r="J238">
        <v>0.02</v>
      </c>
      <c r="K238">
        <v>896.19399999999996</v>
      </c>
      <c r="L238">
        <f t="shared" si="8"/>
        <v>2.2802648668019083E-2</v>
      </c>
    </row>
    <row r="239" spans="1:12" x14ac:dyDescent="0.2">
      <c r="A239">
        <v>103</v>
      </c>
      <c r="B239" t="s">
        <v>58</v>
      </c>
      <c r="C239">
        <v>2020</v>
      </c>
      <c r="D239">
        <v>607.61</v>
      </c>
      <c r="E239">
        <v>668.95</v>
      </c>
      <c r="F239">
        <v>829.23</v>
      </c>
      <c r="G239">
        <v>1105.57</v>
      </c>
      <c r="H239">
        <v>1294.6099999999999</v>
      </c>
      <c r="I239">
        <v>107951.22</v>
      </c>
      <c r="J239">
        <v>0.01</v>
      </c>
      <c r="K239">
        <v>901.19399999999996</v>
      </c>
      <c r="L239">
        <f t="shared" si="8"/>
        <v>5.5791491574368954E-3</v>
      </c>
    </row>
    <row r="240" spans="1:12" x14ac:dyDescent="0.2">
      <c r="A240">
        <v>47</v>
      </c>
      <c r="B240" t="s">
        <v>58</v>
      </c>
      <c r="C240">
        <v>2021</v>
      </c>
      <c r="D240">
        <v>634.20000000000005</v>
      </c>
      <c r="E240">
        <v>699.19</v>
      </c>
      <c r="F240">
        <v>864.83</v>
      </c>
      <c r="G240">
        <v>1146.93</v>
      </c>
      <c r="H240">
        <v>1333.85</v>
      </c>
      <c r="I240">
        <v>107951.22</v>
      </c>
      <c r="J240" s="1">
        <f>L240</f>
        <v>3.8400166889704233E-2</v>
      </c>
      <c r="K240">
        <v>935.8</v>
      </c>
      <c r="L240">
        <f t="shared" si="8"/>
        <v>3.8400166889704233E-2</v>
      </c>
    </row>
    <row r="241" spans="1:12" x14ac:dyDescent="0.2">
      <c r="A241">
        <v>271</v>
      </c>
      <c r="B241" t="s">
        <v>58</v>
      </c>
      <c r="C241">
        <v>2022</v>
      </c>
      <c r="D241">
        <v>662.54</v>
      </c>
      <c r="E241">
        <v>726.72</v>
      </c>
      <c r="F241">
        <v>897.07</v>
      </c>
      <c r="G241">
        <v>1185.1500000000001</v>
      </c>
      <c r="H241">
        <v>1363.72</v>
      </c>
      <c r="I241">
        <v>107951.22</v>
      </c>
      <c r="J241" s="1">
        <f>L241</f>
        <v>3.3383201538790354E-2</v>
      </c>
      <c r="K241">
        <v>967.04</v>
      </c>
      <c r="L241">
        <f t="shared" si="8"/>
        <v>3.3383201538790354E-2</v>
      </c>
    </row>
    <row r="242" spans="1:12" s="2" customFormat="1" x14ac:dyDescent="0.2">
      <c r="A242" s="2">
        <v>216</v>
      </c>
      <c r="B242" s="2" t="s">
        <v>59</v>
      </c>
      <c r="C242" s="2">
        <v>2018</v>
      </c>
      <c r="D242" s="2">
        <v>550.21</v>
      </c>
      <c r="E242" s="2">
        <v>653.30999999999995</v>
      </c>
      <c r="F242" s="2">
        <v>819.45</v>
      </c>
      <c r="G242" s="2">
        <v>1138.72</v>
      </c>
      <c r="H242" s="2">
        <v>1316.34</v>
      </c>
      <c r="I242" s="2">
        <v>95306.38</v>
      </c>
      <c r="J242" s="2">
        <v>0.06</v>
      </c>
      <c r="K242" s="2">
        <v>895.60599999999999</v>
      </c>
    </row>
    <row r="243" spans="1:12" x14ac:dyDescent="0.2">
      <c r="A243">
        <v>160</v>
      </c>
      <c r="B243" t="s">
        <v>59</v>
      </c>
      <c r="C243">
        <v>2019</v>
      </c>
      <c r="D243">
        <v>553.30999999999995</v>
      </c>
      <c r="E243">
        <v>655.21</v>
      </c>
      <c r="F243">
        <v>815.24</v>
      </c>
      <c r="G243">
        <v>1118.5899999999999</v>
      </c>
      <c r="H243">
        <v>1326.52</v>
      </c>
      <c r="I243">
        <v>95306.38</v>
      </c>
      <c r="J243">
        <v>-0.01</v>
      </c>
      <c r="K243">
        <v>893.774</v>
      </c>
      <c r="L243">
        <f t="shared" si="8"/>
        <v>-2.0455423478627807E-3</v>
      </c>
    </row>
    <row r="244" spans="1:12" x14ac:dyDescent="0.2">
      <c r="A244">
        <v>104</v>
      </c>
      <c r="B244" t="s">
        <v>59</v>
      </c>
      <c r="C244">
        <v>2020</v>
      </c>
      <c r="D244">
        <v>591.52</v>
      </c>
      <c r="E244">
        <v>684.07</v>
      </c>
      <c r="F244">
        <v>850.31</v>
      </c>
      <c r="G244">
        <v>1164</v>
      </c>
      <c r="H244">
        <v>1396.38</v>
      </c>
      <c r="I244">
        <v>103238.97</v>
      </c>
      <c r="J244">
        <v>0.04</v>
      </c>
      <c r="K244">
        <v>937.25599999999997</v>
      </c>
      <c r="L244">
        <f t="shared" si="8"/>
        <v>4.8649882408752197E-2</v>
      </c>
    </row>
    <row r="245" spans="1:12" x14ac:dyDescent="0.2">
      <c r="A245">
        <v>48</v>
      </c>
      <c r="B245" t="s">
        <v>59</v>
      </c>
      <c r="C245">
        <v>2021</v>
      </c>
      <c r="D245">
        <v>623.38</v>
      </c>
      <c r="E245">
        <v>702.83</v>
      </c>
      <c r="F245">
        <v>871.83</v>
      </c>
      <c r="G245">
        <v>1182.31</v>
      </c>
      <c r="H245">
        <v>1416.1</v>
      </c>
      <c r="I245">
        <v>103238.97</v>
      </c>
      <c r="J245" s="1">
        <f>L245</f>
        <v>2.3509051955922261E-2</v>
      </c>
      <c r="K245">
        <v>959.29</v>
      </c>
      <c r="L245">
        <f t="shared" si="8"/>
        <v>2.3509051955922261E-2</v>
      </c>
    </row>
    <row r="246" spans="1:12" x14ac:dyDescent="0.2">
      <c r="A246">
        <v>272</v>
      </c>
      <c r="B246" t="s">
        <v>59</v>
      </c>
      <c r="C246">
        <v>2022</v>
      </c>
      <c r="D246">
        <v>657.93</v>
      </c>
      <c r="E246">
        <v>739.79</v>
      </c>
      <c r="F246">
        <v>920.17</v>
      </c>
      <c r="G246">
        <v>1240.0999999999999</v>
      </c>
      <c r="H246">
        <v>1495.48</v>
      </c>
      <c r="I246">
        <v>103238.97</v>
      </c>
      <c r="J246" s="1">
        <f>L246</f>
        <v>5.3585464249601145E-2</v>
      </c>
      <c r="K246">
        <v>1010.694</v>
      </c>
      <c r="L246">
        <f t="shared" si="8"/>
        <v>5.3585464249601145E-2</v>
      </c>
    </row>
    <row r="247" spans="1:12" s="2" customFormat="1" x14ac:dyDescent="0.2">
      <c r="A247" s="2">
        <v>217</v>
      </c>
      <c r="B247" s="2" t="s">
        <v>60</v>
      </c>
      <c r="C247" s="2">
        <v>2018</v>
      </c>
      <c r="D247" s="2">
        <v>752.04</v>
      </c>
      <c r="E247" s="2">
        <v>810.25</v>
      </c>
      <c r="F247" s="2">
        <v>973.49</v>
      </c>
      <c r="G247" s="2">
        <v>1300.1500000000001</v>
      </c>
      <c r="H247" s="2">
        <v>1560.65</v>
      </c>
      <c r="I247" s="2">
        <v>59709.13</v>
      </c>
      <c r="J247" s="2">
        <v>0.04</v>
      </c>
      <c r="K247" s="2">
        <v>1079.316</v>
      </c>
    </row>
    <row r="248" spans="1:12" x14ac:dyDescent="0.2">
      <c r="A248">
        <v>161</v>
      </c>
      <c r="B248" t="s">
        <v>60</v>
      </c>
      <c r="C248">
        <v>2019</v>
      </c>
      <c r="D248">
        <v>739.82</v>
      </c>
      <c r="E248">
        <v>811.05</v>
      </c>
      <c r="F248">
        <v>975.04</v>
      </c>
      <c r="G248">
        <v>1301.04</v>
      </c>
      <c r="H248">
        <v>1554.68</v>
      </c>
      <c r="I248">
        <v>59709.13</v>
      </c>
      <c r="J248">
        <v>0.01</v>
      </c>
      <c r="K248">
        <v>1076.326</v>
      </c>
      <c r="L248">
        <f t="shared" si="8"/>
        <v>-2.7702730247675463E-3</v>
      </c>
    </row>
    <row r="249" spans="1:12" x14ac:dyDescent="0.2">
      <c r="A249">
        <v>105</v>
      </c>
      <c r="B249" t="s">
        <v>60</v>
      </c>
      <c r="C249">
        <v>2020</v>
      </c>
      <c r="D249">
        <v>759.8</v>
      </c>
      <c r="E249">
        <v>828.77</v>
      </c>
      <c r="F249">
        <v>992.38</v>
      </c>
      <c r="G249">
        <v>1322.64</v>
      </c>
      <c r="H249">
        <v>1571.26</v>
      </c>
      <c r="I249">
        <v>62902.14</v>
      </c>
      <c r="J249">
        <v>0.02</v>
      </c>
      <c r="K249">
        <v>1094.97</v>
      </c>
      <c r="L249">
        <f t="shared" si="8"/>
        <v>1.7321889464716085E-2</v>
      </c>
    </row>
    <row r="250" spans="1:12" x14ac:dyDescent="0.2">
      <c r="A250">
        <v>49</v>
      </c>
      <c r="B250" t="s">
        <v>60</v>
      </c>
      <c r="C250">
        <v>2021</v>
      </c>
      <c r="D250">
        <v>781.27</v>
      </c>
      <c r="E250">
        <v>841.64</v>
      </c>
      <c r="F250">
        <v>1006.66</v>
      </c>
      <c r="G250">
        <v>1335.37</v>
      </c>
      <c r="H250">
        <v>1577.17</v>
      </c>
      <c r="I250">
        <v>62902.14</v>
      </c>
      <c r="J250" s="1">
        <f>L250</f>
        <v>1.2285268089536698E-2</v>
      </c>
      <c r="K250">
        <v>1108.422</v>
      </c>
      <c r="L250">
        <f t="shared" si="8"/>
        <v>1.2285268089536698E-2</v>
      </c>
    </row>
    <row r="251" spans="1:12" x14ac:dyDescent="0.2">
      <c r="A251">
        <v>273</v>
      </c>
      <c r="B251" t="s">
        <v>60</v>
      </c>
      <c r="C251">
        <v>2022</v>
      </c>
      <c r="D251">
        <v>803.71</v>
      </c>
      <c r="E251">
        <v>853.65</v>
      </c>
      <c r="F251">
        <v>1016.22</v>
      </c>
      <c r="G251">
        <v>1341.89</v>
      </c>
      <c r="H251">
        <v>1583.32</v>
      </c>
      <c r="I251">
        <v>62902.14</v>
      </c>
      <c r="J251" s="1">
        <f>L251</f>
        <v>1.0227151752671828E-2</v>
      </c>
      <c r="K251">
        <v>1119.758</v>
      </c>
      <c r="L251">
        <f t="shared" si="8"/>
        <v>1.0227151752671828E-2</v>
      </c>
    </row>
    <row r="252" spans="1:12" s="2" customFormat="1" x14ac:dyDescent="0.2">
      <c r="A252" s="2">
        <v>218</v>
      </c>
      <c r="B252" s="2" t="s">
        <v>61</v>
      </c>
      <c r="C252" s="2">
        <v>2018</v>
      </c>
      <c r="D252" s="2">
        <v>805</v>
      </c>
      <c r="E252" s="2">
        <v>918.67</v>
      </c>
      <c r="F252" s="2">
        <v>1138.67</v>
      </c>
      <c r="G252" s="2">
        <v>1427.33</v>
      </c>
      <c r="H252" s="2">
        <v>1551</v>
      </c>
      <c r="I252" s="2">
        <v>36204</v>
      </c>
      <c r="J252" s="2">
        <v>0.01</v>
      </c>
      <c r="K252" s="2">
        <v>1168.134</v>
      </c>
    </row>
    <row r="253" spans="1:12" x14ac:dyDescent="0.2">
      <c r="A253">
        <v>162</v>
      </c>
      <c r="B253" t="s">
        <v>61</v>
      </c>
      <c r="C253">
        <v>2019</v>
      </c>
      <c r="D253">
        <v>852.33</v>
      </c>
      <c r="E253">
        <v>972</v>
      </c>
      <c r="F253">
        <v>1205.33</v>
      </c>
      <c r="G253">
        <v>1510</v>
      </c>
      <c r="H253">
        <v>1629.33</v>
      </c>
      <c r="I253">
        <v>36204</v>
      </c>
      <c r="J253">
        <v>0.06</v>
      </c>
      <c r="K253">
        <v>1233.798</v>
      </c>
      <c r="L253">
        <f t="shared" si="8"/>
        <v>5.6212729019102251E-2</v>
      </c>
    </row>
    <row r="254" spans="1:12" x14ac:dyDescent="0.2">
      <c r="A254">
        <v>106</v>
      </c>
      <c r="B254" t="s">
        <v>61</v>
      </c>
      <c r="C254">
        <v>2020</v>
      </c>
      <c r="D254">
        <v>874.33</v>
      </c>
      <c r="E254">
        <v>998</v>
      </c>
      <c r="F254">
        <v>1236.67</v>
      </c>
      <c r="G254">
        <v>1541.33</v>
      </c>
      <c r="H254">
        <v>1675.33</v>
      </c>
      <c r="I254">
        <v>36204</v>
      </c>
      <c r="J254">
        <v>0.03</v>
      </c>
      <c r="K254">
        <v>1265.1320000000001</v>
      </c>
      <c r="L254">
        <f t="shared" si="8"/>
        <v>2.5396377689054495E-2</v>
      </c>
    </row>
    <row r="255" spans="1:12" x14ac:dyDescent="0.2">
      <c r="A255">
        <v>50</v>
      </c>
      <c r="B255" t="s">
        <v>61</v>
      </c>
      <c r="C255">
        <v>2021</v>
      </c>
      <c r="D255">
        <v>913.67</v>
      </c>
      <c r="E255">
        <v>1042.67</v>
      </c>
      <c r="F255">
        <v>1292.33</v>
      </c>
      <c r="G255">
        <v>1607.67</v>
      </c>
      <c r="H255">
        <v>1752.33</v>
      </c>
      <c r="I255">
        <v>36204</v>
      </c>
      <c r="J255" s="1">
        <f>L255</f>
        <v>4.4739995510349795E-2</v>
      </c>
      <c r="K255">
        <v>1321.7339999999999</v>
      </c>
      <c r="L255">
        <f t="shared" si="8"/>
        <v>4.4739995510349795E-2</v>
      </c>
    </row>
    <row r="256" spans="1:12" x14ac:dyDescent="0.2">
      <c r="A256">
        <v>274</v>
      </c>
      <c r="B256" t="s">
        <v>61</v>
      </c>
      <c r="C256">
        <v>2022</v>
      </c>
      <c r="D256">
        <v>951.33</v>
      </c>
      <c r="E256">
        <v>1085</v>
      </c>
      <c r="F256">
        <v>1345</v>
      </c>
      <c r="G256">
        <v>1662.67</v>
      </c>
      <c r="H256">
        <v>1823.67</v>
      </c>
      <c r="I256">
        <v>36204</v>
      </c>
      <c r="J256" s="1">
        <f>L256</f>
        <v>3.9190941596418179E-2</v>
      </c>
      <c r="K256">
        <v>1373.5340000000001</v>
      </c>
      <c r="L256">
        <f t="shared" si="8"/>
        <v>3.9190941596418179E-2</v>
      </c>
    </row>
    <row r="257" spans="1:12" s="2" customFormat="1" x14ac:dyDescent="0.2">
      <c r="A257" s="2">
        <v>219</v>
      </c>
      <c r="B257" s="2" t="s">
        <v>62</v>
      </c>
      <c r="C257" s="2">
        <v>2018</v>
      </c>
      <c r="D257" s="2">
        <v>762.69</v>
      </c>
      <c r="E257" s="2">
        <v>837.36</v>
      </c>
      <c r="F257" s="2">
        <v>1038.4000000000001</v>
      </c>
      <c r="G257" s="2">
        <v>1347.68</v>
      </c>
      <c r="H257" s="2">
        <v>1520.77</v>
      </c>
      <c r="I257" s="2">
        <v>2453.89</v>
      </c>
      <c r="J257" s="2">
        <v>0.01</v>
      </c>
      <c r="K257" s="2">
        <v>1101.3800000000001</v>
      </c>
    </row>
    <row r="258" spans="1:12" x14ac:dyDescent="0.2">
      <c r="A258">
        <v>163</v>
      </c>
      <c r="B258" t="s">
        <v>62</v>
      </c>
      <c r="C258">
        <v>2019</v>
      </c>
      <c r="D258">
        <v>748.55</v>
      </c>
      <c r="E258">
        <v>828.99</v>
      </c>
      <c r="F258">
        <v>1023.58</v>
      </c>
      <c r="G258">
        <v>1325.33</v>
      </c>
      <c r="H258">
        <v>1466.02</v>
      </c>
      <c r="I258">
        <v>2453.89</v>
      </c>
      <c r="J258">
        <v>-0.02</v>
      </c>
      <c r="K258">
        <v>1078.4939999999999</v>
      </c>
      <c r="L258">
        <f t="shared" si="8"/>
        <v>-2.0779385861373886E-2</v>
      </c>
    </row>
    <row r="259" spans="1:12" x14ac:dyDescent="0.2">
      <c r="A259">
        <v>107</v>
      </c>
      <c r="B259" t="s">
        <v>62</v>
      </c>
      <c r="C259">
        <v>2020</v>
      </c>
      <c r="D259">
        <v>763.84</v>
      </c>
      <c r="E259">
        <v>851.13</v>
      </c>
      <c r="F259">
        <v>1049.7</v>
      </c>
      <c r="G259">
        <v>1354.42</v>
      </c>
      <c r="H259">
        <v>1494.23</v>
      </c>
      <c r="I259">
        <v>2449.48</v>
      </c>
      <c r="J259">
        <v>0.03</v>
      </c>
      <c r="K259">
        <v>1102.664</v>
      </c>
      <c r="L259">
        <f t="shared" si="8"/>
        <v>2.2410880357238958E-2</v>
      </c>
    </row>
    <row r="260" spans="1:12" x14ac:dyDescent="0.2">
      <c r="A260">
        <v>51</v>
      </c>
      <c r="B260" t="s">
        <v>62</v>
      </c>
      <c r="C260">
        <v>2021</v>
      </c>
      <c r="D260">
        <v>761.21</v>
      </c>
      <c r="E260">
        <v>845.07</v>
      </c>
      <c r="F260">
        <v>1046.0899999999999</v>
      </c>
      <c r="G260">
        <v>1349.84</v>
      </c>
      <c r="H260">
        <v>1479.12</v>
      </c>
      <c r="I260">
        <v>2449.48</v>
      </c>
      <c r="J260" s="1">
        <f>L260</f>
        <v>-5.8023114928934935E-3</v>
      </c>
      <c r="K260">
        <v>1096.2660000000001</v>
      </c>
      <c r="L260">
        <f t="shared" si="8"/>
        <v>-5.8023114928934935E-3</v>
      </c>
    </row>
    <row r="261" spans="1:12" x14ac:dyDescent="0.2">
      <c r="A261">
        <v>275</v>
      </c>
      <c r="B261" t="s">
        <v>62</v>
      </c>
      <c r="C261">
        <v>2022</v>
      </c>
      <c r="D261">
        <v>785.91</v>
      </c>
      <c r="E261">
        <v>869.83</v>
      </c>
      <c r="F261">
        <v>1077.28</v>
      </c>
      <c r="G261">
        <v>1387.28</v>
      </c>
      <c r="H261">
        <v>1530.5</v>
      </c>
      <c r="I261">
        <v>2449.48</v>
      </c>
      <c r="J261" s="1">
        <f>L261</f>
        <v>3.0917678738554333E-2</v>
      </c>
      <c r="K261">
        <v>1130.1600000000001</v>
      </c>
      <c r="L261">
        <f t="shared" si="8"/>
        <v>3.0917678738554333E-2</v>
      </c>
    </row>
    <row r="262" spans="1:12" s="2" customFormat="1" x14ac:dyDescent="0.2">
      <c r="A262" s="2">
        <v>220</v>
      </c>
      <c r="B262" s="2" t="s">
        <v>63</v>
      </c>
      <c r="C262" s="2">
        <v>2018</v>
      </c>
      <c r="D262" s="2">
        <v>641.23</v>
      </c>
      <c r="E262" s="2">
        <v>736.08</v>
      </c>
      <c r="F262" s="2">
        <v>939.67</v>
      </c>
      <c r="G262" s="2">
        <v>1319.59</v>
      </c>
      <c r="H262" s="2">
        <v>1527.54</v>
      </c>
      <c r="I262" s="2">
        <v>172424.1</v>
      </c>
      <c r="J262" s="2">
        <v>0.04</v>
      </c>
      <c r="K262" s="2">
        <v>1032.8219999999999</v>
      </c>
    </row>
    <row r="263" spans="1:12" x14ac:dyDescent="0.2">
      <c r="A263">
        <v>164</v>
      </c>
      <c r="B263" t="s">
        <v>63</v>
      </c>
      <c r="C263">
        <v>2019</v>
      </c>
      <c r="D263">
        <v>688.62</v>
      </c>
      <c r="E263">
        <v>787.77</v>
      </c>
      <c r="F263">
        <v>1000.1</v>
      </c>
      <c r="G263">
        <v>1402.72</v>
      </c>
      <c r="H263">
        <v>1619.26</v>
      </c>
      <c r="I263">
        <v>172424.1</v>
      </c>
      <c r="J263">
        <v>7.0000000000000007E-2</v>
      </c>
      <c r="K263">
        <v>1099.694</v>
      </c>
      <c r="L263">
        <f t="shared" si="8"/>
        <v>6.4746877971228425E-2</v>
      </c>
    </row>
    <row r="264" spans="1:12" x14ac:dyDescent="0.2">
      <c r="A264">
        <v>108</v>
      </c>
      <c r="B264" t="s">
        <v>63</v>
      </c>
      <c r="C264">
        <v>2020</v>
      </c>
      <c r="D264">
        <v>744.82</v>
      </c>
      <c r="E264">
        <v>845.33</v>
      </c>
      <c r="F264">
        <v>1068.8699999999999</v>
      </c>
      <c r="G264">
        <v>1501.9</v>
      </c>
      <c r="H264">
        <v>1741.87</v>
      </c>
      <c r="I264">
        <v>183845.77</v>
      </c>
      <c r="J264">
        <v>7.0000000000000007E-2</v>
      </c>
      <c r="K264">
        <v>1180.558</v>
      </c>
      <c r="L264">
        <f t="shared" si="8"/>
        <v>7.3533182867234009E-2</v>
      </c>
    </row>
    <row r="265" spans="1:12" x14ac:dyDescent="0.2">
      <c r="A265">
        <v>52</v>
      </c>
      <c r="B265" t="s">
        <v>63</v>
      </c>
      <c r="C265">
        <v>2021</v>
      </c>
      <c r="D265">
        <v>752.46</v>
      </c>
      <c r="E265">
        <v>850.03</v>
      </c>
      <c r="F265">
        <v>1069.54</v>
      </c>
      <c r="G265">
        <v>1497.69</v>
      </c>
      <c r="H265">
        <v>1763.9</v>
      </c>
      <c r="I265">
        <v>183845.77</v>
      </c>
      <c r="J265" s="1">
        <f>L265</f>
        <v>5.2229538912952284E-3</v>
      </c>
      <c r="K265">
        <v>1186.7239999999999</v>
      </c>
      <c r="L265">
        <f t="shared" si="8"/>
        <v>5.2229538912952284E-3</v>
      </c>
    </row>
    <row r="266" spans="1:12" x14ac:dyDescent="0.2">
      <c r="A266">
        <v>276</v>
      </c>
      <c r="B266" t="s">
        <v>63</v>
      </c>
      <c r="C266">
        <v>2022</v>
      </c>
      <c r="D266">
        <v>794.72</v>
      </c>
      <c r="E266">
        <v>899.13</v>
      </c>
      <c r="F266">
        <v>1124.3800000000001</v>
      </c>
      <c r="G266">
        <v>1563.41</v>
      </c>
      <c r="H266">
        <v>1848.69</v>
      </c>
      <c r="I266">
        <v>183845.77</v>
      </c>
      <c r="J266" s="1">
        <f>L266</f>
        <v>5.000488740431671E-2</v>
      </c>
      <c r="K266">
        <v>1246.066</v>
      </c>
      <c r="L266">
        <f t="shared" ref="L266:L281" si="9">((AVERAGE(D266:H266))-(AVERAGE(D265:H265)))/(AVERAGE(D265:H265))</f>
        <v>5.000488740431671E-2</v>
      </c>
    </row>
    <row r="267" spans="1:12" s="2" customFormat="1" x14ac:dyDescent="0.2">
      <c r="A267" s="2">
        <v>221</v>
      </c>
      <c r="B267" s="2" t="s">
        <v>64</v>
      </c>
      <c r="C267" s="2">
        <v>2018</v>
      </c>
      <c r="D267" s="2">
        <v>520.16999999999996</v>
      </c>
      <c r="E267" s="2">
        <v>586.89</v>
      </c>
      <c r="F267" s="2">
        <v>758.36</v>
      </c>
      <c r="G267" s="2">
        <v>1005.67</v>
      </c>
      <c r="H267" s="2">
        <v>1123.51</v>
      </c>
      <c r="I267" s="2">
        <v>78985.919999999998</v>
      </c>
      <c r="J267" s="2">
        <v>0.02</v>
      </c>
      <c r="K267" s="2">
        <v>798.92</v>
      </c>
    </row>
    <row r="268" spans="1:12" x14ac:dyDescent="0.2">
      <c r="A268">
        <v>165</v>
      </c>
      <c r="B268" t="s">
        <v>64</v>
      </c>
      <c r="C268">
        <v>2019</v>
      </c>
      <c r="D268">
        <v>533.47</v>
      </c>
      <c r="E268">
        <v>601.42999999999995</v>
      </c>
      <c r="F268">
        <v>774.18</v>
      </c>
      <c r="G268">
        <v>1025.92</v>
      </c>
      <c r="H268">
        <v>1146.9000000000001</v>
      </c>
      <c r="I268">
        <v>78985.919999999998</v>
      </c>
      <c r="J268">
        <v>0.02</v>
      </c>
      <c r="K268">
        <v>816.38</v>
      </c>
      <c r="L268">
        <f t="shared" si="9"/>
        <v>2.1854503579832676E-2</v>
      </c>
    </row>
    <row r="269" spans="1:12" x14ac:dyDescent="0.2">
      <c r="A269">
        <v>109</v>
      </c>
      <c r="B269" t="s">
        <v>64</v>
      </c>
      <c r="C269">
        <v>2020</v>
      </c>
      <c r="D269">
        <v>554.16999999999996</v>
      </c>
      <c r="E269">
        <v>623.74</v>
      </c>
      <c r="F269">
        <v>800.32</v>
      </c>
      <c r="G269">
        <v>1057.44</v>
      </c>
      <c r="H269">
        <v>1179.97</v>
      </c>
      <c r="I269">
        <v>80044.649999999994</v>
      </c>
      <c r="J269">
        <v>0.03</v>
      </c>
      <c r="K269">
        <v>843.12800000000004</v>
      </c>
      <c r="L269">
        <f t="shared" si="9"/>
        <v>3.2764153947916472E-2</v>
      </c>
    </row>
    <row r="270" spans="1:12" x14ac:dyDescent="0.2">
      <c r="A270">
        <v>53</v>
      </c>
      <c r="B270" t="s">
        <v>64</v>
      </c>
      <c r="C270">
        <v>2021</v>
      </c>
      <c r="D270">
        <v>568.85</v>
      </c>
      <c r="E270">
        <v>637.1</v>
      </c>
      <c r="F270">
        <v>817.32</v>
      </c>
      <c r="G270">
        <v>1075.1500000000001</v>
      </c>
      <c r="H270">
        <v>1198.49</v>
      </c>
      <c r="I270">
        <v>80044.649999999994</v>
      </c>
      <c r="J270" s="1">
        <f>L270</f>
        <v>1.9278211611997116E-2</v>
      </c>
      <c r="K270">
        <v>859.38199999999995</v>
      </c>
      <c r="L270">
        <f t="shared" si="9"/>
        <v>1.9278211611997116E-2</v>
      </c>
    </row>
    <row r="271" spans="1:12" x14ac:dyDescent="0.2">
      <c r="A271">
        <v>277</v>
      </c>
      <c r="B271" t="s">
        <v>64</v>
      </c>
      <c r="C271">
        <v>2022</v>
      </c>
      <c r="D271">
        <v>597.74</v>
      </c>
      <c r="E271">
        <v>667.4</v>
      </c>
      <c r="F271">
        <v>853.43</v>
      </c>
      <c r="G271">
        <v>1116.5</v>
      </c>
      <c r="H271">
        <v>1242.57</v>
      </c>
      <c r="I271">
        <v>80044.649999999994</v>
      </c>
      <c r="J271" s="1">
        <f>L271</f>
        <v>4.2060457398456055E-2</v>
      </c>
      <c r="K271">
        <v>895.52800000000002</v>
      </c>
      <c r="L271">
        <f t="shared" si="9"/>
        <v>4.2060457398456055E-2</v>
      </c>
    </row>
    <row r="272" spans="1:12" s="2" customFormat="1" x14ac:dyDescent="0.2">
      <c r="A272" s="2">
        <v>222</v>
      </c>
      <c r="B272" s="2" t="s">
        <v>65</v>
      </c>
      <c r="C272" s="2">
        <v>2018</v>
      </c>
      <c r="D272" s="2">
        <v>527.95000000000005</v>
      </c>
      <c r="E272" s="2">
        <v>570.36</v>
      </c>
      <c r="F272" s="2">
        <v>693.02</v>
      </c>
      <c r="G272" s="2">
        <v>918.22</v>
      </c>
      <c r="H272" s="2">
        <v>1058.95</v>
      </c>
      <c r="I272" s="2">
        <v>33690.800000000003</v>
      </c>
      <c r="J272" s="2">
        <v>-0.05</v>
      </c>
      <c r="K272" s="2">
        <v>753.7</v>
      </c>
    </row>
    <row r="273" spans="1:12" x14ac:dyDescent="0.2">
      <c r="A273">
        <v>166</v>
      </c>
      <c r="B273" t="s">
        <v>65</v>
      </c>
      <c r="C273">
        <v>2019</v>
      </c>
      <c r="D273">
        <v>529.6</v>
      </c>
      <c r="E273">
        <v>563.91</v>
      </c>
      <c r="F273">
        <v>687.62</v>
      </c>
      <c r="G273">
        <v>909.11</v>
      </c>
      <c r="H273">
        <v>1051.27</v>
      </c>
      <c r="I273">
        <v>33690.800000000003</v>
      </c>
      <c r="J273">
        <v>-0.01</v>
      </c>
      <c r="K273">
        <v>748.30200000000002</v>
      </c>
      <c r="L273">
        <f t="shared" si="9"/>
        <v>-7.1620007960727398E-3</v>
      </c>
    </row>
    <row r="274" spans="1:12" x14ac:dyDescent="0.2">
      <c r="A274">
        <v>110</v>
      </c>
      <c r="B274" t="s">
        <v>65</v>
      </c>
      <c r="C274">
        <v>2020</v>
      </c>
      <c r="D274">
        <v>560.33000000000004</v>
      </c>
      <c r="E274">
        <v>597.09</v>
      </c>
      <c r="F274">
        <v>726.15</v>
      </c>
      <c r="G274">
        <v>958.71</v>
      </c>
      <c r="H274">
        <v>1115.98</v>
      </c>
      <c r="I274">
        <v>33397</v>
      </c>
      <c r="J274">
        <v>0.06</v>
      </c>
      <c r="K274">
        <v>791.65200000000004</v>
      </c>
      <c r="L274">
        <f t="shared" si="9"/>
        <v>5.7931156137495318E-2</v>
      </c>
    </row>
    <row r="275" spans="1:12" x14ac:dyDescent="0.2">
      <c r="A275">
        <v>54</v>
      </c>
      <c r="B275" t="s">
        <v>65</v>
      </c>
      <c r="C275">
        <v>2021</v>
      </c>
      <c r="D275">
        <v>567.15</v>
      </c>
      <c r="E275">
        <v>599.02</v>
      </c>
      <c r="F275">
        <v>732.49</v>
      </c>
      <c r="G275">
        <v>962.02</v>
      </c>
      <c r="H275">
        <v>1109.9100000000001</v>
      </c>
      <c r="I275">
        <v>33397</v>
      </c>
      <c r="J275" s="1">
        <f>L275</f>
        <v>3.1150050779888234E-3</v>
      </c>
      <c r="K275">
        <v>794.11800000000005</v>
      </c>
      <c r="L275">
        <f t="shared" si="9"/>
        <v>3.1150050779888234E-3</v>
      </c>
    </row>
    <row r="276" spans="1:12" x14ac:dyDescent="0.2">
      <c r="A276">
        <v>278</v>
      </c>
      <c r="B276" t="s">
        <v>65</v>
      </c>
      <c r="C276">
        <v>2022</v>
      </c>
      <c r="D276">
        <v>584.65</v>
      </c>
      <c r="E276">
        <v>620.4</v>
      </c>
      <c r="F276">
        <v>761.05</v>
      </c>
      <c r="G276">
        <v>1003.47</v>
      </c>
      <c r="H276">
        <v>1144.07</v>
      </c>
      <c r="I276">
        <v>33397</v>
      </c>
      <c r="J276" s="1">
        <f>L276</f>
        <v>3.6027391395233185E-2</v>
      </c>
      <c r="K276">
        <v>822.72799999999995</v>
      </c>
      <c r="L276">
        <f t="shared" si="9"/>
        <v>3.6027391395233185E-2</v>
      </c>
    </row>
    <row r="277" spans="1:12" s="2" customFormat="1" x14ac:dyDescent="0.2">
      <c r="A277" s="2">
        <v>223</v>
      </c>
      <c r="B277" s="2" t="s">
        <v>66</v>
      </c>
      <c r="C277" s="2">
        <v>2018</v>
      </c>
      <c r="D277" s="2">
        <v>577.57000000000005</v>
      </c>
      <c r="E277" s="2">
        <v>638.48</v>
      </c>
      <c r="F277" s="2">
        <v>813.74</v>
      </c>
      <c r="G277" s="2">
        <v>1096.74</v>
      </c>
      <c r="H277" s="2">
        <v>1328.7</v>
      </c>
      <c r="I277" s="2">
        <v>24505.48</v>
      </c>
      <c r="J277" s="2">
        <v>0.06</v>
      </c>
      <c r="K277" s="2">
        <v>891.04600000000005</v>
      </c>
    </row>
    <row r="278" spans="1:12" x14ac:dyDescent="0.2">
      <c r="A278">
        <v>167</v>
      </c>
      <c r="B278" t="s">
        <v>66</v>
      </c>
      <c r="C278">
        <v>2019</v>
      </c>
      <c r="D278">
        <v>591.70000000000005</v>
      </c>
      <c r="E278">
        <v>650.91</v>
      </c>
      <c r="F278">
        <v>825.35</v>
      </c>
      <c r="G278">
        <v>1109.83</v>
      </c>
      <c r="H278">
        <v>1375.43</v>
      </c>
      <c r="I278">
        <v>24505.48</v>
      </c>
      <c r="J278">
        <v>0.02</v>
      </c>
      <c r="K278">
        <v>910.64400000000001</v>
      </c>
      <c r="L278">
        <f t="shared" si="9"/>
        <v>2.1994375150104432E-2</v>
      </c>
    </row>
    <row r="279" spans="1:12" x14ac:dyDescent="0.2">
      <c r="A279">
        <v>111</v>
      </c>
      <c r="B279" t="s">
        <v>66</v>
      </c>
      <c r="C279">
        <v>2020</v>
      </c>
      <c r="D279">
        <v>621.39</v>
      </c>
      <c r="E279">
        <v>678.83</v>
      </c>
      <c r="F279">
        <v>845.61</v>
      </c>
      <c r="G279">
        <v>1138.26</v>
      </c>
      <c r="H279">
        <v>1422.96</v>
      </c>
      <c r="I279">
        <v>25356.52</v>
      </c>
      <c r="J279">
        <v>0.02</v>
      </c>
      <c r="K279">
        <v>941.41</v>
      </c>
      <c r="L279">
        <f t="shared" si="9"/>
        <v>3.3784881907748886E-2</v>
      </c>
    </row>
    <row r="280" spans="1:12" x14ac:dyDescent="0.2">
      <c r="A280">
        <v>55</v>
      </c>
      <c r="B280" t="s">
        <v>66</v>
      </c>
      <c r="C280">
        <v>2021</v>
      </c>
      <c r="D280">
        <v>640.09</v>
      </c>
      <c r="E280">
        <v>676.7</v>
      </c>
      <c r="F280">
        <v>842.09</v>
      </c>
      <c r="G280">
        <v>1138.8699999999999</v>
      </c>
      <c r="H280">
        <v>1412.91</v>
      </c>
      <c r="I280">
        <v>25356.52</v>
      </c>
      <c r="J280" s="1">
        <f>L280</f>
        <v>7.6693470432634696E-4</v>
      </c>
      <c r="K280">
        <v>942.13199999999995</v>
      </c>
      <c r="L280">
        <f t="shared" si="9"/>
        <v>7.6693470432634696E-4</v>
      </c>
    </row>
    <row r="281" spans="1:12" x14ac:dyDescent="0.2">
      <c r="A281">
        <v>279</v>
      </c>
      <c r="B281" t="s">
        <v>66</v>
      </c>
      <c r="C281">
        <v>2022</v>
      </c>
      <c r="D281">
        <v>659.3</v>
      </c>
      <c r="E281">
        <v>681.26</v>
      </c>
      <c r="F281">
        <v>850.96</v>
      </c>
      <c r="G281">
        <v>1153.57</v>
      </c>
      <c r="H281">
        <v>1426.39</v>
      </c>
      <c r="I281">
        <v>25356.52</v>
      </c>
      <c r="J281" s="1">
        <f>L281</f>
        <v>1.2911141963122048E-2</v>
      </c>
      <c r="K281">
        <v>954.29600000000005</v>
      </c>
      <c r="L281">
        <f t="shared" si="9"/>
        <v>1.2911141963122048E-2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2021-09-18T23:18:48Z</dcterms:created>
  <dcterms:modified xsi:type="dcterms:W3CDTF">2021-09-18T23:18:48Z</dcterms:modified>
</cp:coreProperties>
</file>